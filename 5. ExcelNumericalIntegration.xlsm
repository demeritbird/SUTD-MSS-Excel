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perhaos\"/>
    </mc:Choice>
  </mc:AlternateContent>
  <xr:revisionPtr revIDLastSave="0" documentId="13_ncr:1_{C9EBBD54-094E-48C1-A94F-3C4F93C4EF36}" xr6:coauthVersionLast="46" xr6:coauthVersionMax="46" xr10:uidLastSave="{00000000-0000-0000-0000-000000000000}"/>
  <bookViews>
    <workbookView xWindow="-108" yWindow="-108" windowWidth="23256" windowHeight="12576" xr2:uid="{E85E323D-5FC0-4D9A-8777-7EF2A8275E79}"/>
  </bookViews>
  <sheets>
    <sheet name="main" sheetId="9" r:id="rId1"/>
    <sheet name="Reimann Sums" sheetId="3" r:id="rId2"/>
    <sheet name="Trapezoidal Rule" sheetId="5" r:id="rId3"/>
    <sheet name="Simpson's Rule" sheetId="8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8" l="1"/>
  <c r="H4" i="8"/>
  <c r="Q4" i="5"/>
  <c r="L4" i="5"/>
  <c r="I6" i="5"/>
  <c r="G6" i="5"/>
  <c r="F5" i="3" l="1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4" i="3"/>
  <c r="E5" i="3" l="1"/>
  <c r="G5" i="8"/>
  <c r="H5" i="8" s="1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H55" i="8" s="1"/>
  <c r="J56" i="8"/>
  <c r="H56" i="8" s="1"/>
  <c r="J57" i="8"/>
  <c r="H57" i="8" s="1"/>
  <c r="J58" i="8"/>
  <c r="H58" i="8" s="1"/>
  <c r="J59" i="8"/>
  <c r="H59" i="8" s="1"/>
  <c r="J60" i="8"/>
  <c r="H60" i="8" s="1"/>
  <c r="J61" i="8"/>
  <c r="H61" i="8" s="1"/>
  <c r="J62" i="8"/>
  <c r="H62" i="8" s="1"/>
  <c r="J63" i="8"/>
  <c r="H63" i="8" s="1"/>
  <c r="J64" i="8"/>
  <c r="H64" i="8" s="1"/>
  <c r="J65" i="8"/>
  <c r="H65" i="8" s="1"/>
  <c r="J66" i="8"/>
  <c r="H66" i="8" s="1"/>
  <c r="J67" i="8"/>
  <c r="H67" i="8" s="1"/>
  <c r="J68" i="8"/>
  <c r="H68" i="8" s="1"/>
  <c r="J69" i="8"/>
  <c r="H69" i="8" s="1"/>
  <c r="J70" i="8"/>
  <c r="H70" i="8" s="1"/>
  <c r="J71" i="8"/>
  <c r="H71" i="8" s="1"/>
  <c r="J72" i="8"/>
  <c r="H72" i="8" s="1"/>
  <c r="J73" i="8"/>
  <c r="H73" i="8" s="1"/>
  <c r="J74" i="8"/>
  <c r="H74" i="8" s="1"/>
  <c r="J75" i="8"/>
  <c r="H75" i="8" s="1"/>
  <c r="J76" i="8"/>
  <c r="H76" i="8" s="1"/>
  <c r="J77" i="8"/>
  <c r="H77" i="8" s="1"/>
  <c r="J78" i="8"/>
  <c r="H78" i="8" s="1"/>
  <c r="J79" i="8"/>
  <c r="H79" i="8" s="1"/>
  <c r="J80" i="8"/>
  <c r="H80" i="8" s="1"/>
  <c r="J81" i="8"/>
  <c r="H81" i="8" s="1"/>
  <c r="J82" i="8"/>
  <c r="H82" i="8" s="1"/>
  <c r="J83" i="8"/>
  <c r="H83" i="8" s="1"/>
  <c r="J84" i="8"/>
  <c r="H84" i="8" s="1"/>
  <c r="J85" i="8"/>
  <c r="H85" i="8" s="1"/>
  <c r="J86" i="8"/>
  <c r="H86" i="8" s="1"/>
  <c r="J87" i="8"/>
  <c r="H87" i="8" s="1"/>
  <c r="J88" i="8"/>
  <c r="H88" i="8" s="1"/>
  <c r="J89" i="8"/>
  <c r="H89" i="8" s="1"/>
  <c r="J90" i="8"/>
  <c r="H90" i="8" s="1"/>
  <c r="J91" i="8"/>
  <c r="H91" i="8" s="1"/>
  <c r="J92" i="8"/>
  <c r="H92" i="8" s="1"/>
  <c r="J93" i="8"/>
  <c r="H93" i="8" s="1"/>
  <c r="J94" i="8"/>
  <c r="H94" i="8" s="1"/>
  <c r="J95" i="8"/>
  <c r="H95" i="8" s="1"/>
  <c r="J96" i="8"/>
  <c r="H96" i="8" s="1"/>
  <c r="J97" i="8"/>
  <c r="H97" i="8" s="1"/>
  <c r="J98" i="8"/>
  <c r="H98" i="8" s="1"/>
  <c r="J99" i="8"/>
  <c r="H99" i="8" s="1"/>
  <c r="J100" i="8"/>
  <c r="H100" i="8" s="1"/>
  <c r="J101" i="8"/>
  <c r="H101" i="8" s="1"/>
  <c r="J102" i="8"/>
  <c r="H102" i="8" s="1"/>
  <c r="J103" i="8"/>
  <c r="H103" i="8" s="1"/>
  <c r="J104" i="8"/>
  <c r="H104" i="8" s="1"/>
  <c r="G4" i="8"/>
  <c r="J7" i="8" l="1"/>
  <c r="J8" i="8"/>
  <c r="J9" i="8"/>
  <c r="J10" i="8"/>
  <c r="J11" i="8"/>
  <c r="J12" i="8"/>
  <c r="J6" i="8"/>
  <c r="G6" i="8" l="1"/>
  <c r="H6" i="8" s="1"/>
  <c r="L9" i="8"/>
  <c r="L11" i="8"/>
  <c r="L13" i="8"/>
  <c r="L15" i="8"/>
  <c r="L17" i="8"/>
  <c r="L19" i="8"/>
  <c r="L21" i="8"/>
  <c r="L23" i="8"/>
  <c r="L25" i="8"/>
  <c r="L27" i="8"/>
  <c r="L29" i="8"/>
  <c r="L31" i="8"/>
  <c r="L33" i="8"/>
  <c r="L35" i="8"/>
  <c r="L37" i="8"/>
  <c r="L39" i="8"/>
  <c r="L41" i="8"/>
  <c r="L43" i="8"/>
  <c r="L45" i="8"/>
  <c r="L47" i="8"/>
  <c r="L49" i="8"/>
  <c r="L51" i="8"/>
  <c r="L53" i="8"/>
  <c r="L55" i="8"/>
  <c r="L57" i="8"/>
  <c r="L59" i="8"/>
  <c r="L61" i="8"/>
  <c r="L63" i="8"/>
  <c r="L65" i="8"/>
  <c r="L67" i="8"/>
  <c r="L69" i="8"/>
  <c r="L71" i="8"/>
  <c r="L73" i="8"/>
  <c r="L75" i="8"/>
  <c r="L77" i="8"/>
  <c r="L79" i="8"/>
  <c r="L81" i="8"/>
  <c r="L83" i="8"/>
  <c r="L85" i="8"/>
  <c r="L87" i="8"/>
  <c r="L89" i="8"/>
  <c r="L91" i="8"/>
  <c r="L93" i="8"/>
  <c r="L95" i="8"/>
  <c r="L97" i="8"/>
  <c r="L99" i="8"/>
  <c r="L101" i="8"/>
  <c r="L103" i="8"/>
  <c r="G7" i="8" l="1"/>
  <c r="H7" i="8" s="1"/>
  <c r="C23" i="3"/>
  <c r="G8" i="8" l="1"/>
  <c r="H8" i="8" s="1"/>
  <c r="T4" i="5"/>
  <c r="F6" i="5"/>
  <c r="F5" i="5"/>
  <c r="F4" i="5"/>
  <c r="E4" i="3"/>
  <c r="G9" i="8" l="1"/>
  <c r="H9" i="8" s="1"/>
  <c r="O4" i="5"/>
  <c r="C23" i="8"/>
  <c r="G10" i="8" l="1"/>
  <c r="H10" i="8" s="1"/>
  <c r="P4" i="5"/>
  <c r="E6" i="3"/>
  <c r="K4" i="5"/>
  <c r="C23" i="5"/>
  <c r="T5" i="5" s="1"/>
  <c r="O5" i="5" s="1"/>
  <c r="Q5" i="5" s="1"/>
  <c r="G4" i="3"/>
  <c r="H4" i="3" s="1"/>
  <c r="G11" i="8" l="1"/>
  <c r="H11" i="8" s="1"/>
  <c r="J4" i="3"/>
  <c r="E7" i="3"/>
  <c r="K5" i="5"/>
  <c r="L5" i="5" s="1"/>
  <c r="F7" i="5"/>
  <c r="I7" i="5" s="1"/>
  <c r="F9" i="5"/>
  <c r="I9" i="5" s="1"/>
  <c r="F8" i="5"/>
  <c r="G12" i="8" l="1"/>
  <c r="H12" i="8" s="1"/>
  <c r="F11" i="5"/>
  <c r="G9" i="5"/>
  <c r="E8" i="3"/>
  <c r="G7" i="5"/>
  <c r="K6" i="5"/>
  <c r="L6" i="5" s="1"/>
  <c r="F10" i="5"/>
  <c r="I10" i="5" s="1"/>
  <c r="F12" i="5"/>
  <c r="I12" i="5" s="1"/>
  <c r="G13" i="8" l="1"/>
  <c r="H13" i="8" s="1"/>
  <c r="F14" i="5"/>
  <c r="G12" i="5"/>
  <c r="E9" i="3"/>
  <c r="K7" i="5"/>
  <c r="L7" i="5" s="1"/>
  <c r="F13" i="5"/>
  <c r="I13" i="5" s="1"/>
  <c r="G10" i="5"/>
  <c r="F15" i="5"/>
  <c r="I15" i="5" s="1"/>
  <c r="G14" i="8" l="1"/>
  <c r="H14" i="8" s="1"/>
  <c r="F17" i="5"/>
  <c r="E10" i="3"/>
  <c r="K8" i="5"/>
  <c r="L8" i="5" s="1"/>
  <c r="G15" i="5"/>
  <c r="G13" i="5"/>
  <c r="F16" i="5"/>
  <c r="I16" i="5" s="1"/>
  <c r="F18" i="5"/>
  <c r="I18" i="5" s="1"/>
  <c r="G15" i="8" l="1"/>
  <c r="H15" i="8" s="1"/>
  <c r="F20" i="5"/>
  <c r="G18" i="5"/>
  <c r="E11" i="3"/>
  <c r="F21" i="5"/>
  <c r="I21" i="5" s="1"/>
  <c r="K9" i="5"/>
  <c r="L9" i="5" s="1"/>
  <c r="F19" i="5"/>
  <c r="I19" i="5" s="1"/>
  <c r="G16" i="5"/>
  <c r="G16" i="8" l="1"/>
  <c r="H16" i="8" s="1"/>
  <c r="F23" i="5"/>
  <c r="G21" i="5"/>
  <c r="E12" i="3"/>
  <c r="K10" i="5"/>
  <c r="L10" i="5" s="1"/>
  <c r="F22" i="5"/>
  <c r="I22" i="5" s="1"/>
  <c r="G19" i="5"/>
  <c r="F24" i="5"/>
  <c r="I24" i="5" s="1"/>
  <c r="G17" i="8" l="1"/>
  <c r="H17" i="8" s="1"/>
  <c r="G24" i="5"/>
  <c r="F26" i="5"/>
  <c r="E13" i="3"/>
  <c r="G22" i="5"/>
  <c r="K11" i="5"/>
  <c r="L11" i="5" s="1"/>
  <c r="F25" i="5"/>
  <c r="I25" i="5" s="1"/>
  <c r="F27" i="5"/>
  <c r="I27" i="5" s="1"/>
  <c r="G18" i="8" l="1"/>
  <c r="H18" i="8" s="1"/>
  <c r="G27" i="5"/>
  <c r="F29" i="5"/>
  <c r="E14" i="3"/>
  <c r="G25" i="5"/>
  <c r="K12" i="5"/>
  <c r="L12" i="5" s="1"/>
  <c r="F28" i="5"/>
  <c r="I28" i="5" s="1"/>
  <c r="F30" i="5"/>
  <c r="I30" i="5" s="1"/>
  <c r="G19" i="8" l="1"/>
  <c r="H19" i="8" s="1"/>
  <c r="G30" i="5"/>
  <c r="F32" i="5"/>
  <c r="K13" i="5"/>
  <c r="L13" i="5" s="1"/>
  <c r="E15" i="3"/>
  <c r="G28" i="5"/>
  <c r="F31" i="5"/>
  <c r="I31" i="5" s="1"/>
  <c r="F33" i="5"/>
  <c r="I33" i="5" s="1"/>
  <c r="G20" i="8" l="1"/>
  <c r="H20" i="8" s="1"/>
  <c r="G33" i="5"/>
  <c r="F35" i="5"/>
  <c r="E16" i="3"/>
  <c r="G31" i="5"/>
  <c r="K14" i="5"/>
  <c r="L14" i="5" s="1"/>
  <c r="F34" i="5"/>
  <c r="I34" i="5" s="1"/>
  <c r="F36" i="5"/>
  <c r="I36" i="5" s="1"/>
  <c r="G21" i="8" l="1"/>
  <c r="H21" i="8" s="1"/>
  <c r="G36" i="5"/>
  <c r="F38" i="5"/>
  <c r="E17" i="3"/>
  <c r="G34" i="5"/>
  <c r="K15" i="5"/>
  <c r="L15" i="5" s="1"/>
  <c r="F37" i="5"/>
  <c r="I37" i="5" s="1"/>
  <c r="F39" i="5"/>
  <c r="I39" i="5" s="1"/>
  <c r="G22" i="8" l="1"/>
  <c r="H22" i="8" s="1"/>
  <c r="G39" i="5"/>
  <c r="F41" i="5"/>
  <c r="E18" i="3"/>
  <c r="G37" i="5"/>
  <c r="K16" i="5"/>
  <c r="L16" i="5" s="1"/>
  <c r="F40" i="5"/>
  <c r="I40" i="5" s="1"/>
  <c r="F42" i="5"/>
  <c r="I42" i="5" s="1"/>
  <c r="G23" i="8" l="1"/>
  <c r="H23" i="8" s="1"/>
  <c r="G42" i="5"/>
  <c r="F44" i="5"/>
  <c r="E19" i="3"/>
  <c r="G40" i="5"/>
  <c r="K17" i="5"/>
  <c r="L17" i="5" s="1"/>
  <c r="F43" i="5"/>
  <c r="I43" i="5" s="1"/>
  <c r="F45" i="5"/>
  <c r="I45" i="5" s="1"/>
  <c r="G24" i="8" l="1"/>
  <c r="H24" i="8" s="1"/>
  <c r="F47" i="5"/>
  <c r="E20" i="3"/>
  <c r="G45" i="5"/>
  <c r="G43" i="5"/>
  <c r="K18" i="5"/>
  <c r="L18" i="5" s="1"/>
  <c r="F46" i="5"/>
  <c r="I46" i="5" s="1"/>
  <c r="F48" i="5"/>
  <c r="I48" i="5" s="1"/>
  <c r="G25" i="8" l="1"/>
  <c r="H25" i="8" s="1"/>
  <c r="G48" i="5"/>
  <c r="F50" i="5"/>
  <c r="E21" i="3"/>
  <c r="G46" i="5"/>
  <c r="K19" i="5"/>
  <c r="L19" i="5" s="1"/>
  <c r="F49" i="5"/>
  <c r="I49" i="5" s="1"/>
  <c r="F51" i="5"/>
  <c r="I51" i="5" s="1"/>
  <c r="G26" i="8" l="1"/>
  <c r="H26" i="8" s="1"/>
  <c r="G51" i="5"/>
  <c r="F53" i="5"/>
  <c r="E22" i="3"/>
  <c r="G49" i="5"/>
  <c r="K20" i="5"/>
  <c r="L20" i="5" s="1"/>
  <c r="F52" i="5"/>
  <c r="I52" i="5" s="1"/>
  <c r="F54" i="5"/>
  <c r="I54" i="5" s="1"/>
  <c r="G27" i="8" l="1"/>
  <c r="H27" i="8" s="1"/>
  <c r="F56" i="5"/>
  <c r="E23" i="3"/>
  <c r="G54" i="5"/>
  <c r="G52" i="5"/>
  <c r="K21" i="5"/>
  <c r="L21" i="5" s="1"/>
  <c r="F55" i="5"/>
  <c r="I55" i="5" s="1"/>
  <c r="F57" i="5"/>
  <c r="I57" i="5" s="1"/>
  <c r="G28" i="8" l="1"/>
  <c r="H28" i="8" s="1"/>
  <c r="G57" i="5"/>
  <c r="F59" i="5"/>
  <c r="E24" i="3"/>
  <c r="G55" i="5"/>
  <c r="K22" i="5"/>
  <c r="L22" i="5" s="1"/>
  <c r="F58" i="5"/>
  <c r="I58" i="5" s="1"/>
  <c r="F60" i="5"/>
  <c r="I60" i="5" s="1"/>
  <c r="G29" i="8" l="1"/>
  <c r="H29" i="8" s="1"/>
  <c r="G60" i="5"/>
  <c r="F62" i="5"/>
  <c r="E25" i="3"/>
  <c r="G58" i="5"/>
  <c r="K23" i="5"/>
  <c r="L23" i="5" s="1"/>
  <c r="F61" i="5"/>
  <c r="I61" i="5" s="1"/>
  <c r="F63" i="5"/>
  <c r="I63" i="5" s="1"/>
  <c r="G30" i="8" l="1"/>
  <c r="H30" i="8" s="1"/>
  <c r="G63" i="5"/>
  <c r="F65" i="5"/>
  <c r="E26" i="3"/>
  <c r="G61" i="5"/>
  <c r="K24" i="5"/>
  <c r="L24" i="5" s="1"/>
  <c r="F64" i="5"/>
  <c r="I64" i="5" s="1"/>
  <c r="F66" i="5"/>
  <c r="I66" i="5" s="1"/>
  <c r="G31" i="8" l="1"/>
  <c r="H31" i="8" s="1"/>
  <c r="G66" i="5"/>
  <c r="F68" i="5"/>
  <c r="E27" i="3"/>
  <c r="G64" i="5"/>
  <c r="K25" i="5"/>
  <c r="L25" i="5" s="1"/>
  <c r="F67" i="5"/>
  <c r="I67" i="5" s="1"/>
  <c r="F69" i="5"/>
  <c r="I69" i="5" s="1"/>
  <c r="G32" i="8" l="1"/>
  <c r="H32" i="8" s="1"/>
  <c r="G69" i="5"/>
  <c r="F71" i="5"/>
  <c r="E28" i="3"/>
  <c r="G67" i="5"/>
  <c r="K26" i="5"/>
  <c r="L26" i="5" s="1"/>
  <c r="F70" i="5"/>
  <c r="I70" i="5" s="1"/>
  <c r="F72" i="5"/>
  <c r="I72" i="5" s="1"/>
  <c r="G33" i="8" l="1"/>
  <c r="H33" i="8" s="1"/>
  <c r="F74" i="5"/>
  <c r="E29" i="3"/>
  <c r="G72" i="5"/>
  <c r="G70" i="5"/>
  <c r="K27" i="5"/>
  <c r="L27" i="5" s="1"/>
  <c r="F73" i="5"/>
  <c r="I73" i="5" s="1"/>
  <c r="F75" i="5"/>
  <c r="I75" i="5" s="1"/>
  <c r="G34" i="8" l="1"/>
  <c r="H34" i="8" s="1"/>
  <c r="F77" i="5"/>
  <c r="E30" i="3"/>
  <c r="G73" i="5"/>
  <c r="G75" i="5"/>
  <c r="K28" i="5"/>
  <c r="L28" i="5" s="1"/>
  <c r="F76" i="5"/>
  <c r="I76" i="5" s="1"/>
  <c r="F78" i="5"/>
  <c r="I78" i="5" s="1"/>
  <c r="G35" i="8" l="1"/>
  <c r="H35" i="8" s="1"/>
  <c r="G78" i="5"/>
  <c r="F80" i="5"/>
  <c r="E31" i="3"/>
  <c r="G76" i="5"/>
  <c r="K29" i="5"/>
  <c r="L29" i="5" s="1"/>
  <c r="F79" i="5"/>
  <c r="I79" i="5" s="1"/>
  <c r="F81" i="5"/>
  <c r="I81" i="5" s="1"/>
  <c r="G36" i="8" l="1"/>
  <c r="H36" i="8" s="1"/>
  <c r="F83" i="5"/>
  <c r="E32" i="3"/>
  <c r="G81" i="5"/>
  <c r="G79" i="5"/>
  <c r="K30" i="5"/>
  <c r="L30" i="5" s="1"/>
  <c r="F82" i="5"/>
  <c r="I82" i="5" s="1"/>
  <c r="F84" i="5"/>
  <c r="I84" i="5" s="1"/>
  <c r="G37" i="8" l="1"/>
  <c r="H37" i="8" s="1"/>
  <c r="G84" i="5"/>
  <c r="F86" i="5"/>
  <c r="E33" i="3"/>
  <c r="G82" i="5"/>
  <c r="K31" i="5"/>
  <c r="L31" i="5" s="1"/>
  <c r="F85" i="5"/>
  <c r="I85" i="5" s="1"/>
  <c r="F87" i="5"/>
  <c r="I87" i="5" s="1"/>
  <c r="G38" i="8" l="1"/>
  <c r="H38" i="8" s="1"/>
  <c r="G87" i="5"/>
  <c r="F89" i="5"/>
  <c r="E34" i="3"/>
  <c r="G85" i="5"/>
  <c r="K32" i="5"/>
  <c r="L32" i="5" s="1"/>
  <c r="F88" i="5"/>
  <c r="I88" i="5" s="1"/>
  <c r="F90" i="5"/>
  <c r="I90" i="5" s="1"/>
  <c r="G39" i="8" l="1"/>
  <c r="H39" i="8" s="1"/>
  <c r="G90" i="5"/>
  <c r="F92" i="5"/>
  <c r="E35" i="3"/>
  <c r="G88" i="5"/>
  <c r="K33" i="5"/>
  <c r="L33" i="5" s="1"/>
  <c r="F91" i="5"/>
  <c r="I91" i="5" s="1"/>
  <c r="F93" i="5"/>
  <c r="I93" i="5" s="1"/>
  <c r="G40" i="8" l="1"/>
  <c r="H40" i="8" s="1"/>
  <c r="F95" i="5"/>
  <c r="E36" i="3"/>
  <c r="G93" i="5"/>
  <c r="G91" i="5"/>
  <c r="K34" i="5"/>
  <c r="L34" i="5" s="1"/>
  <c r="F94" i="5"/>
  <c r="I94" i="5" s="1"/>
  <c r="F96" i="5"/>
  <c r="I96" i="5" s="1"/>
  <c r="G41" i="8" l="1"/>
  <c r="H41" i="8" s="1"/>
  <c r="G96" i="5"/>
  <c r="F98" i="5"/>
  <c r="E37" i="3"/>
  <c r="G94" i="5"/>
  <c r="K35" i="5"/>
  <c r="L35" i="5" s="1"/>
  <c r="F97" i="5"/>
  <c r="I97" i="5" s="1"/>
  <c r="F99" i="5"/>
  <c r="I99" i="5" s="1"/>
  <c r="G42" i="8" l="1"/>
  <c r="H42" i="8" s="1"/>
  <c r="F101" i="5"/>
  <c r="E38" i="3"/>
  <c r="G99" i="5"/>
  <c r="G97" i="5"/>
  <c r="K36" i="5"/>
  <c r="L36" i="5" s="1"/>
  <c r="F100" i="5"/>
  <c r="I100" i="5" s="1"/>
  <c r="F102" i="5"/>
  <c r="I102" i="5" s="1"/>
  <c r="G43" i="8" l="1"/>
  <c r="H43" i="8" s="1"/>
  <c r="F104" i="5"/>
  <c r="E39" i="3"/>
  <c r="G100" i="5"/>
  <c r="G102" i="5"/>
  <c r="K37" i="5"/>
  <c r="L37" i="5" s="1"/>
  <c r="F103" i="5"/>
  <c r="I103" i="5" s="1"/>
  <c r="F105" i="5"/>
  <c r="I105" i="5" s="1"/>
  <c r="G44" i="8" l="1"/>
  <c r="H44" i="8" s="1"/>
  <c r="F107" i="5"/>
  <c r="E40" i="3"/>
  <c r="G105" i="5"/>
  <c r="G103" i="5"/>
  <c r="K38" i="5"/>
  <c r="L38" i="5" s="1"/>
  <c r="F106" i="5"/>
  <c r="I106" i="5" s="1"/>
  <c r="F108" i="5"/>
  <c r="I108" i="5" s="1"/>
  <c r="G45" i="8" l="1"/>
  <c r="H45" i="8" s="1"/>
  <c r="F110" i="5"/>
  <c r="E41" i="3"/>
  <c r="G108" i="5"/>
  <c r="G106" i="5"/>
  <c r="K39" i="5"/>
  <c r="L39" i="5" s="1"/>
  <c r="F109" i="5"/>
  <c r="I109" i="5" s="1"/>
  <c r="F111" i="5"/>
  <c r="I111" i="5" s="1"/>
  <c r="G46" i="8" l="1"/>
  <c r="H46" i="8" s="1"/>
  <c r="G111" i="5"/>
  <c r="F113" i="5"/>
  <c r="E42" i="3"/>
  <c r="G109" i="5"/>
  <c r="K40" i="5"/>
  <c r="L40" i="5" s="1"/>
  <c r="F112" i="5"/>
  <c r="I112" i="5" s="1"/>
  <c r="F114" i="5"/>
  <c r="I114" i="5" s="1"/>
  <c r="G47" i="8" l="1"/>
  <c r="H47" i="8" s="1"/>
  <c r="G114" i="5"/>
  <c r="F116" i="5"/>
  <c r="E43" i="3"/>
  <c r="G112" i="5"/>
  <c r="K41" i="5"/>
  <c r="L41" i="5" s="1"/>
  <c r="F115" i="5"/>
  <c r="I115" i="5" s="1"/>
  <c r="F117" i="5"/>
  <c r="I117" i="5" s="1"/>
  <c r="G48" i="8" l="1"/>
  <c r="H48" i="8" s="1"/>
  <c r="G117" i="5"/>
  <c r="F119" i="5"/>
  <c r="E44" i="3"/>
  <c r="G115" i="5"/>
  <c r="K42" i="5"/>
  <c r="L42" i="5" s="1"/>
  <c r="F118" i="5"/>
  <c r="I118" i="5" s="1"/>
  <c r="F120" i="5"/>
  <c r="I120" i="5" s="1"/>
  <c r="G49" i="8" l="1"/>
  <c r="H49" i="8" s="1"/>
  <c r="F122" i="5"/>
  <c r="E45" i="3"/>
  <c r="G120" i="5"/>
  <c r="G118" i="5"/>
  <c r="K43" i="5"/>
  <c r="L43" i="5" s="1"/>
  <c r="F121" i="5"/>
  <c r="I121" i="5" s="1"/>
  <c r="F123" i="5"/>
  <c r="I123" i="5" s="1"/>
  <c r="G50" i="8" l="1"/>
  <c r="H50" i="8" s="1"/>
  <c r="F125" i="5"/>
  <c r="E46" i="3"/>
  <c r="G123" i="5"/>
  <c r="G121" i="5"/>
  <c r="K44" i="5"/>
  <c r="L44" i="5" s="1"/>
  <c r="F124" i="5"/>
  <c r="I124" i="5" s="1"/>
  <c r="F126" i="5"/>
  <c r="I126" i="5" s="1"/>
  <c r="G51" i="8" l="1"/>
  <c r="H51" i="8" s="1"/>
  <c r="F128" i="5"/>
  <c r="E47" i="3"/>
  <c r="G124" i="5"/>
  <c r="G126" i="5"/>
  <c r="K45" i="5"/>
  <c r="L45" i="5" s="1"/>
  <c r="F127" i="5"/>
  <c r="I127" i="5" s="1"/>
  <c r="F129" i="5"/>
  <c r="I129" i="5" s="1"/>
  <c r="G52" i="8" l="1"/>
  <c r="H52" i="8" s="1"/>
  <c r="F131" i="5"/>
  <c r="E48" i="3"/>
  <c r="G129" i="5"/>
  <c r="G127" i="5"/>
  <c r="K46" i="5"/>
  <c r="L46" i="5" s="1"/>
  <c r="F130" i="5"/>
  <c r="I130" i="5" s="1"/>
  <c r="F132" i="5"/>
  <c r="I132" i="5" s="1"/>
  <c r="G53" i="8" l="1"/>
  <c r="H53" i="8" s="1"/>
  <c r="G132" i="5"/>
  <c r="F134" i="5"/>
  <c r="E49" i="3"/>
  <c r="G130" i="5"/>
  <c r="K47" i="5"/>
  <c r="L47" i="5" s="1"/>
  <c r="F133" i="5"/>
  <c r="I133" i="5" s="1"/>
  <c r="F135" i="5"/>
  <c r="I135" i="5" s="1"/>
  <c r="G54" i="8" l="1"/>
  <c r="H54" i="8" s="1"/>
  <c r="G135" i="5"/>
  <c r="F137" i="5"/>
  <c r="E50" i="3"/>
  <c r="G133" i="5"/>
  <c r="K48" i="5"/>
  <c r="L48" i="5" s="1"/>
  <c r="F136" i="5"/>
  <c r="I136" i="5" s="1"/>
  <c r="F138" i="5"/>
  <c r="I138" i="5" s="1"/>
  <c r="G55" i="8" l="1"/>
  <c r="F140" i="5"/>
  <c r="E51" i="3"/>
  <c r="G136" i="5"/>
  <c r="G138" i="5"/>
  <c r="K49" i="5"/>
  <c r="L49" i="5" s="1"/>
  <c r="F139" i="5"/>
  <c r="I139" i="5" s="1"/>
  <c r="F141" i="5"/>
  <c r="I141" i="5" s="1"/>
  <c r="G56" i="8" l="1"/>
  <c r="F143" i="5"/>
  <c r="E52" i="3"/>
  <c r="G141" i="5"/>
  <c r="G139" i="5"/>
  <c r="K50" i="5"/>
  <c r="L50" i="5" s="1"/>
  <c r="F142" i="5"/>
  <c r="I142" i="5" s="1"/>
  <c r="F144" i="5"/>
  <c r="I144" i="5" s="1"/>
  <c r="G57" i="8" l="1"/>
  <c r="F146" i="5"/>
  <c r="E53" i="3"/>
  <c r="G144" i="5"/>
  <c r="G142" i="5"/>
  <c r="K51" i="5"/>
  <c r="L51" i="5" s="1"/>
  <c r="F145" i="5"/>
  <c r="I145" i="5" s="1"/>
  <c r="F147" i="5"/>
  <c r="I147" i="5" s="1"/>
  <c r="G58" i="8" l="1"/>
  <c r="G147" i="5"/>
  <c r="F149" i="5"/>
  <c r="E54" i="3"/>
  <c r="G145" i="5"/>
  <c r="K52" i="5"/>
  <c r="L52" i="5" s="1"/>
  <c r="F148" i="5"/>
  <c r="I148" i="5" s="1"/>
  <c r="F150" i="5"/>
  <c r="I150" i="5" s="1"/>
  <c r="G59" i="8" l="1"/>
  <c r="F152" i="5"/>
  <c r="E55" i="3"/>
  <c r="G148" i="5"/>
  <c r="G150" i="5"/>
  <c r="K53" i="5"/>
  <c r="L53" i="5" s="1"/>
  <c r="F151" i="5"/>
  <c r="I151" i="5" s="1"/>
  <c r="F153" i="5"/>
  <c r="I153" i="5" s="1"/>
  <c r="G60" i="8" l="1"/>
  <c r="G153" i="5"/>
  <c r="F155" i="5"/>
  <c r="E56" i="3"/>
  <c r="G151" i="5"/>
  <c r="K54" i="5"/>
  <c r="L54" i="5" s="1"/>
  <c r="F154" i="5"/>
  <c r="I154" i="5" s="1"/>
  <c r="F156" i="5"/>
  <c r="I156" i="5" s="1"/>
  <c r="G61" i="8" l="1"/>
  <c r="F158" i="5"/>
  <c r="E57" i="3"/>
  <c r="G154" i="5"/>
  <c r="G156" i="5"/>
  <c r="K55" i="5"/>
  <c r="L55" i="5" s="1"/>
  <c r="F157" i="5"/>
  <c r="I157" i="5" s="1"/>
  <c r="F159" i="5"/>
  <c r="I159" i="5" s="1"/>
  <c r="G62" i="8" l="1"/>
  <c r="F161" i="5"/>
  <c r="E58" i="3"/>
  <c r="G159" i="5"/>
  <c r="G157" i="5"/>
  <c r="K56" i="5"/>
  <c r="L56" i="5" s="1"/>
  <c r="F160" i="5"/>
  <c r="I160" i="5" s="1"/>
  <c r="F162" i="5"/>
  <c r="I162" i="5" s="1"/>
  <c r="G63" i="8" l="1"/>
  <c r="F164" i="5"/>
  <c r="E59" i="3"/>
  <c r="G162" i="5"/>
  <c r="G160" i="5"/>
  <c r="K57" i="5"/>
  <c r="L57" i="5" s="1"/>
  <c r="F163" i="5"/>
  <c r="I163" i="5" s="1"/>
  <c r="F165" i="5"/>
  <c r="I165" i="5" s="1"/>
  <c r="G64" i="8" l="1"/>
  <c r="F167" i="5"/>
  <c r="E60" i="3"/>
  <c r="G165" i="5"/>
  <c r="G163" i="5"/>
  <c r="K58" i="5"/>
  <c r="L58" i="5" s="1"/>
  <c r="F166" i="5"/>
  <c r="I166" i="5" s="1"/>
  <c r="F168" i="5"/>
  <c r="I168" i="5" s="1"/>
  <c r="G65" i="8" l="1"/>
  <c r="F170" i="5"/>
  <c r="E61" i="3"/>
  <c r="G168" i="5"/>
  <c r="G166" i="5"/>
  <c r="K59" i="5"/>
  <c r="L59" i="5" s="1"/>
  <c r="F169" i="5"/>
  <c r="I169" i="5" s="1"/>
  <c r="F171" i="5"/>
  <c r="I171" i="5" s="1"/>
  <c r="G66" i="8" l="1"/>
  <c r="G171" i="5"/>
  <c r="F173" i="5"/>
  <c r="E62" i="3"/>
  <c r="G169" i="5"/>
  <c r="K60" i="5"/>
  <c r="L60" i="5" s="1"/>
  <c r="F172" i="5"/>
  <c r="I172" i="5" s="1"/>
  <c r="F174" i="5"/>
  <c r="I174" i="5" s="1"/>
  <c r="G67" i="8" l="1"/>
  <c r="F176" i="5"/>
  <c r="E63" i="3"/>
  <c r="G174" i="5"/>
  <c r="G172" i="5"/>
  <c r="K61" i="5"/>
  <c r="L61" i="5" s="1"/>
  <c r="F175" i="5"/>
  <c r="I175" i="5" s="1"/>
  <c r="F177" i="5"/>
  <c r="I177" i="5" s="1"/>
  <c r="G68" i="8" l="1"/>
  <c r="G177" i="5"/>
  <c r="F179" i="5"/>
  <c r="E64" i="3"/>
  <c r="G175" i="5"/>
  <c r="K62" i="5"/>
  <c r="L62" i="5" s="1"/>
  <c r="F178" i="5"/>
  <c r="I178" i="5" s="1"/>
  <c r="F180" i="5"/>
  <c r="I180" i="5" s="1"/>
  <c r="G69" i="8" l="1"/>
  <c r="G180" i="5"/>
  <c r="F182" i="5"/>
  <c r="E65" i="3"/>
  <c r="G178" i="5"/>
  <c r="K63" i="5"/>
  <c r="L63" i="5" s="1"/>
  <c r="F181" i="5"/>
  <c r="I181" i="5" s="1"/>
  <c r="F183" i="5"/>
  <c r="I183" i="5" s="1"/>
  <c r="G70" i="8" l="1"/>
  <c r="G183" i="5"/>
  <c r="F185" i="5"/>
  <c r="E66" i="3"/>
  <c r="G181" i="5"/>
  <c r="K64" i="5"/>
  <c r="L64" i="5" s="1"/>
  <c r="F184" i="5"/>
  <c r="I184" i="5" s="1"/>
  <c r="F186" i="5"/>
  <c r="I186" i="5" s="1"/>
  <c r="G71" i="8" l="1"/>
  <c r="G186" i="5"/>
  <c r="F188" i="5"/>
  <c r="E67" i="3"/>
  <c r="G184" i="5"/>
  <c r="K65" i="5"/>
  <c r="L65" i="5" s="1"/>
  <c r="F187" i="5"/>
  <c r="I187" i="5" s="1"/>
  <c r="F189" i="5"/>
  <c r="I189" i="5" s="1"/>
  <c r="G72" i="8" l="1"/>
  <c r="G189" i="5"/>
  <c r="F191" i="5"/>
  <c r="E68" i="3"/>
  <c r="G187" i="5"/>
  <c r="K66" i="5"/>
  <c r="L66" i="5" s="1"/>
  <c r="F190" i="5"/>
  <c r="I190" i="5" s="1"/>
  <c r="F192" i="5"/>
  <c r="I192" i="5" s="1"/>
  <c r="G73" i="8" l="1"/>
  <c r="F194" i="5"/>
  <c r="E69" i="3"/>
  <c r="G192" i="5"/>
  <c r="G190" i="5"/>
  <c r="K67" i="5"/>
  <c r="L67" i="5" s="1"/>
  <c r="F193" i="5"/>
  <c r="I193" i="5" s="1"/>
  <c r="F195" i="5"/>
  <c r="I195" i="5" s="1"/>
  <c r="G74" i="8" l="1"/>
  <c r="G195" i="5"/>
  <c r="F197" i="5"/>
  <c r="E70" i="3"/>
  <c r="G193" i="5"/>
  <c r="K68" i="5"/>
  <c r="L68" i="5" s="1"/>
  <c r="F196" i="5"/>
  <c r="I196" i="5" s="1"/>
  <c r="F198" i="5"/>
  <c r="I198" i="5" s="1"/>
  <c r="G75" i="8" l="1"/>
  <c r="G198" i="5"/>
  <c r="F200" i="5"/>
  <c r="E71" i="3"/>
  <c r="G196" i="5"/>
  <c r="K69" i="5"/>
  <c r="L69" i="5" s="1"/>
  <c r="F199" i="5"/>
  <c r="I199" i="5" s="1"/>
  <c r="F201" i="5"/>
  <c r="I201" i="5" s="1"/>
  <c r="G76" i="8" l="1"/>
  <c r="G201" i="5"/>
  <c r="F203" i="5"/>
  <c r="E72" i="3"/>
  <c r="G199" i="5"/>
  <c r="K70" i="5"/>
  <c r="L70" i="5" s="1"/>
  <c r="F202" i="5"/>
  <c r="I202" i="5" s="1"/>
  <c r="F204" i="5"/>
  <c r="I204" i="5" s="1"/>
  <c r="G77" i="8" l="1"/>
  <c r="G204" i="5"/>
  <c r="F206" i="5"/>
  <c r="E73" i="3"/>
  <c r="G202" i="5"/>
  <c r="K71" i="5"/>
  <c r="L71" i="5" s="1"/>
  <c r="F205" i="5"/>
  <c r="I205" i="5" s="1"/>
  <c r="F207" i="5"/>
  <c r="I207" i="5" s="1"/>
  <c r="G78" i="8" l="1"/>
  <c r="G207" i="5"/>
  <c r="F209" i="5"/>
  <c r="E74" i="3"/>
  <c r="G205" i="5"/>
  <c r="K72" i="5"/>
  <c r="L72" i="5" s="1"/>
  <c r="F208" i="5"/>
  <c r="I208" i="5" s="1"/>
  <c r="F210" i="5"/>
  <c r="I210" i="5" s="1"/>
  <c r="G79" i="8" l="1"/>
  <c r="G210" i="5"/>
  <c r="F212" i="5"/>
  <c r="E75" i="3"/>
  <c r="G208" i="5"/>
  <c r="K73" i="5"/>
  <c r="L73" i="5" s="1"/>
  <c r="F211" i="5"/>
  <c r="I211" i="5" s="1"/>
  <c r="F213" i="5"/>
  <c r="I213" i="5" s="1"/>
  <c r="G80" i="8" l="1"/>
  <c r="G213" i="5"/>
  <c r="F215" i="5"/>
  <c r="E76" i="3"/>
  <c r="G211" i="5"/>
  <c r="K74" i="5"/>
  <c r="L74" i="5" s="1"/>
  <c r="F214" i="5"/>
  <c r="I214" i="5" s="1"/>
  <c r="F216" i="5"/>
  <c r="I216" i="5" s="1"/>
  <c r="G81" i="8" l="1"/>
  <c r="G216" i="5"/>
  <c r="F218" i="5"/>
  <c r="E77" i="3"/>
  <c r="G214" i="5"/>
  <c r="K75" i="5"/>
  <c r="L75" i="5" s="1"/>
  <c r="F217" i="5"/>
  <c r="I217" i="5" s="1"/>
  <c r="F219" i="5"/>
  <c r="I219" i="5" s="1"/>
  <c r="G82" i="8" l="1"/>
  <c r="G219" i="5"/>
  <c r="F221" i="5"/>
  <c r="E78" i="3"/>
  <c r="G217" i="5"/>
  <c r="K76" i="5"/>
  <c r="L76" i="5" s="1"/>
  <c r="F220" i="5"/>
  <c r="I220" i="5" s="1"/>
  <c r="F222" i="5"/>
  <c r="I222" i="5" s="1"/>
  <c r="G83" i="8" l="1"/>
  <c r="G222" i="5"/>
  <c r="F224" i="5"/>
  <c r="E79" i="3"/>
  <c r="G220" i="5"/>
  <c r="K77" i="5"/>
  <c r="L77" i="5" s="1"/>
  <c r="F223" i="5"/>
  <c r="I223" i="5" s="1"/>
  <c r="F225" i="5"/>
  <c r="I225" i="5" s="1"/>
  <c r="G84" i="8" l="1"/>
  <c r="F227" i="5"/>
  <c r="E80" i="3"/>
  <c r="G225" i="5"/>
  <c r="G223" i="5"/>
  <c r="K78" i="5"/>
  <c r="L78" i="5" s="1"/>
  <c r="F226" i="5"/>
  <c r="I226" i="5" s="1"/>
  <c r="F228" i="5"/>
  <c r="I228" i="5" s="1"/>
  <c r="G85" i="8" l="1"/>
  <c r="G228" i="5"/>
  <c r="F230" i="5"/>
  <c r="E81" i="3"/>
  <c r="G226" i="5"/>
  <c r="K79" i="5"/>
  <c r="L79" i="5" s="1"/>
  <c r="F229" i="5"/>
  <c r="I229" i="5" s="1"/>
  <c r="F231" i="5"/>
  <c r="I231" i="5" s="1"/>
  <c r="G86" i="8" l="1"/>
  <c r="F233" i="5"/>
  <c r="E82" i="3"/>
  <c r="G231" i="5"/>
  <c r="G229" i="5"/>
  <c r="K80" i="5"/>
  <c r="L80" i="5" s="1"/>
  <c r="F232" i="5"/>
  <c r="I232" i="5" s="1"/>
  <c r="F234" i="5"/>
  <c r="I234" i="5" s="1"/>
  <c r="G87" i="8" l="1"/>
  <c r="G234" i="5"/>
  <c r="F236" i="5"/>
  <c r="E83" i="3"/>
  <c r="G232" i="5"/>
  <c r="K81" i="5"/>
  <c r="L81" i="5" s="1"/>
  <c r="F235" i="5"/>
  <c r="I235" i="5" s="1"/>
  <c r="F237" i="5"/>
  <c r="I237" i="5" s="1"/>
  <c r="G88" i="8" l="1"/>
  <c r="F239" i="5"/>
  <c r="E84" i="3"/>
  <c r="G237" i="5"/>
  <c r="G235" i="5"/>
  <c r="K82" i="5"/>
  <c r="L82" i="5" s="1"/>
  <c r="F238" i="5"/>
  <c r="I238" i="5" s="1"/>
  <c r="F240" i="5"/>
  <c r="I240" i="5" s="1"/>
  <c r="G89" i="8" l="1"/>
  <c r="F242" i="5"/>
  <c r="E85" i="3"/>
  <c r="G240" i="5"/>
  <c r="G238" i="5"/>
  <c r="K83" i="5"/>
  <c r="L83" i="5" s="1"/>
  <c r="F241" i="5"/>
  <c r="I241" i="5" s="1"/>
  <c r="F243" i="5"/>
  <c r="I243" i="5" s="1"/>
  <c r="G90" i="8" l="1"/>
  <c r="G243" i="5"/>
  <c r="F245" i="5"/>
  <c r="E86" i="3"/>
  <c r="G241" i="5"/>
  <c r="K84" i="5"/>
  <c r="L84" i="5" s="1"/>
  <c r="F244" i="5"/>
  <c r="I244" i="5" s="1"/>
  <c r="F246" i="5"/>
  <c r="I246" i="5" s="1"/>
  <c r="G91" i="8" l="1"/>
  <c r="G246" i="5"/>
  <c r="F248" i="5"/>
  <c r="E87" i="3"/>
  <c r="G244" i="5"/>
  <c r="K85" i="5"/>
  <c r="L85" i="5" s="1"/>
  <c r="F247" i="5"/>
  <c r="I247" i="5" s="1"/>
  <c r="F249" i="5"/>
  <c r="I249" i="5" s="1"/>
  <c r="G92" i="8" l="1"/>
  <c r="G249" i="5"/>
  <c r="F251" i="5"/>
  <c r="E88" i="3"/>
  <c r="G247" i="5"/>
  <c r="K86" i="5"/>
  <c r="L86" i="5" s="1"/>
  <c r="F250" i="5"/>
  <c r="I250" i="5" s="1"/>
  <c r="F252" i="5"/>
  <c r="I252" i="5" s="1"/>
  <c r="G93" i="8" l="1"/>
  <c r="G252" i="5"/>
  <c r="F254" i="5"/>
  <c r="E89" i="3"/>
  <c r="G250" i="5"/>
  <c r="K87" i="5"/>
  <c r="L87" i="5" s="1"/>
  <c r="F253" i="5"/>
  <c r="I253" i="5" s="1"/>
  <c r="F255" i="5"/>
  <c r="I255" i="5" s="1"/>
  <c r="G94" i="8" l="1"/>
  <c r="G255" i="5"/>
  <c r="F257" i="5"/>
  <c r="E90" i="3"/>
  <c r="G253" i="5"/>
  <c r="K88" i="5"/>
  <c r="L88" i="5" s="1"/>
  <c r="F256" i="5"/>
  <c r="I256" i="5" s="1"/>
  <c r="F258" i="5"/>
  <c r="I258" i="5" s="1"/>
  <c r="G95" i="8" l="1"/>
  <c r="G258" i="5"/>
  <c r="F260" i="5"/>
  <c r="E91" i="3"/>
  <c r="G256" i="5"/>
  <c r="K89" i="5"/>
  <c r="L89" i="5" s="1"/>
  <c r="F259" i="5"/>
  <c r="I259" i="5" s="1"/>
  <c r="F261" i="5"/>
  <c r="I261" i="5" s="1"/>
  <c r="G96" i="8" l="1"/>
  <c r="G261" i="5"/>
  <c r="F263" i="5"/>
  <c r="E92" i="3"/>
  <c r="G259" i="5"/>
  <c r="K90" i="5"/>
  <c r="L90" i="5" s="1"/>
  <c r="F262" i="5"/>
  <c r="I262" i="5" s="1"/>
  <c r="F264" i="5"/>
  <c r="I264" i="5" s="1"/>
  <c r="G97" i="8" l="1"/>
  <c r="F266" i="5"/>
  <c r="E93" i="3"/>
  <c r="G264" i="5"/>
  <c r="G262" i="5"/>
  <c r="K91" i="5"/>
  <c r="L91" i="5" s="1"/>
  <c r="F265" i="5"/>
  <c r="I265" i="5" s="1"/>
  <c r="F267" i="5"/>
  <c r="I267" i="5" s="1"/>
  <c r="G98" i="8" l="1"/>
  <c r="G267" i="5"/>
  <c r="F269" i="5"/>
  <c r="E94" i="3"/>
  <c r="G265" i="5"/>
  <c r="K92" i="5"/>
  <c r="L92" i="5" s="1"/>
  <c r="F268" i="5"/>
  <c r="I268" i="5" s="1"/>
  <c r="F270" i="5"/>
  <c r="I270" i="5" s="1"/>
  <c r="G99" i="8" l="1"/>
  <c r="G270" i="5"/>
  <c r="F272" i="5"/>
  <c r="E95" i="3"/>
  <c r="G268" i="5"/>
  <c r="K93" i="5"/>
  <c r="L93" i="5" s="1"/>
  <c r="F271" i="5"/>
  <c r="I271" i="5" s="1"/>
  <c r="F273" i="5"/>
  <c r="I273" i="5" s="1"/>
  <c r="G100" i="8" l="1"/>
  <c r="G273" i="5"/>
  <c r="F275" i="5"/>
  <c r="E96" i="3"/>
  <c r="G271" i="5"/>
  <c r="K94" i="5"/>
  <c r="L94" i="5" s="1"/>
  <c r="F274" i="5"/>
  <c r="I274" i="5" s="1"/>
  <c r="F276" i="5"/>
  <c r="I276" i="5" s="1"/>
  <c r="G101" i="8" l="1"/>
  <c r="F278" i="5"/>
  <c r="E97" i="3"/>
  <c r="G274" i="5"/>
  <c r="G276" i="5"/>
  <c r="K95" i="5"/>
  <c r="L95" i="5" s="1"/>
  <c r="F277" i="5"/>
  <c r="I277" i="5" s="1"/>
  <c r="F279" i="5"/>
  <c r="I279" i="5" s="1"/>
  <c r="G102" i="8" l="1"/>
  <c r="G279" i="5"/>
  <c r="F281" i="5"/>
  <c r="E98" i="3"/>
  <c r="G277" i="5"/>
  <c r="K96" i="5"/>
  <c r="L96" i="5" s="1"/>
  <c r="F280" i="5"/>
  <c r="I280" i="5" s="1"/>
  <c r="F282" i="5"/>
  <c r="I282" i="5" s="1"/>
  <c r="G103" i="8" l="1"/>
  <c r="F284" i="5"/>
  <c r="E99" i="3"/>
  <c r="G282" i="5"/>
  <c r="G280" i="5"/>
  <c r="K97" i="5"/>
  <c r="L97" i="5" s="1"/>
  <c r="F283" i="5"/>
  <c r="I283" i="5" s="1"/>
  <c r="F285" i="5"/>
  <c r="I285" i="5" s="1"/>
  <c r="G104" i="8" l="1"/>
  <c r="G285" i="5"/>
  <c r="F287" i="5"/>
  <c r="E100" i="3"/>
  <c r="G283" i="5"/>
  <c r="K98" i="5"/>
  <c r="L98" i="5" s="1"/>
  <c r="F286" i="5"/>
  <c r="I286" i="5" s="1"/>
  <c r="F288" i="5"/>
  <c r="I288" i="5" s="1"/>
  <c r="G288" i="5" l="1"/>
  <c r="F290" i="5"/>
  <c r="E101" i="3"/>
  <c r="G286" i="5"/>
  <c r="K99" i="5"/>
  <c r="L99" i="5" s="1"/>
  <c r="F289" i="5"/>
  <c r="I289" i="5" s="1"/>
  <c r="F291" i="5"/>
  <c r="I291" i="5" s="1"/>
  <c r="G291" i="5" l="1"/>
  <c r="F293" i="5"/>
  <c r="E102" i="3"/>
  <c r="G289" i="5"/>
  <c r="K100" i="5"/>
  <c r="L100" i="5" s="1"/>
  <c r="F292" i="5"/>
  <c r="I292" i="5" s="1"/>
  <c r="F294" i="5"/>
  <c r="I294" i="5" s="1"/>
  <c r="F296" i="5" l="1"/>
  <c r="E103" i="3"/>
  <c r="G294" i="5"/>
  <c r="G292" i="5"/>
  <c r="K101" i="5"/>
  <c r="L101" i="5" s="1"/>
  <c r="F295" i="5"/>
  <c r="I295" i="5" s="1"/>
  <c r="F297" i="5"/>
  <c r="I297" i="5" s="1"/>
  <c r="F299" i="5" l="1"/>
  <c r="E104" i="3"/>
  <c r="G295" i="5"/>
  <c r="G297" i="5"/>
  <c r="K102" i="5"/>
  <c r="L102" i="5" s="1"/>
  <c r="F298" i="5"/>
  <c r="I298" i="5" s="1"/>
  <c r="F300" i="5"/>
  <c r="I300" i="5" s="1"/>
  <c r="F302" i="5" l="1"/>
  <c r="E105" i="3"/>
  <c r="G298" i="5"/>
  <c r="G300" i="5"/>
  <c r="K103" i="5"/>
  <c r="L103" i="5" s="1"/>
  <c r="F301" i="5"/>
  <c r="I301" i="5" s="1"/>
  <c r="F303" i="5"/>
  <c r="I303" i="5" s="1"/>
  <c r="E106" i="3" l="1"/>
  <c r="G301" i="5"/>
  <c r="G303" i="5"/>
  <c r="K104" i="5"/>
  <c r="L104" i="5" s="1"/>
  <c r="F304" i="5"/>
  <c r="I304" i="5" s="1"/>
  <c r="E107" i="3" l="1"/>
  <c r="G304" i="5"/>
  <c r="K105" i="5"/>
  <c r="L105" i="5" s="1"/>
  <c r="E108" i="3" l="1"/>
  <c r="K106" i="5"/>
  <c r="L106" i="5" s="1"/>
  <c r="E109" i="3" l="1"/>
  <c r="K107" i="5"/>
  <c r="L107" i="5" s="1"/>
  <c r="E110" i="3" l="1"/>
  <c r="K108" i="5"/>
  <c r="L108" i="5" s="1"/>
  <c r="E111" i="3" l="1"/>
  <c r="K109" i="5"/>
  <c r="L109" i="5" s="1"/>
  <c r="E112" i="3" l="1"/>
  <c r="K110" i="5"/>
  <c r="L110" i="5" s="1"/>
  <c r="E113" i="3" l="1"/>
  <c r="K111" i="5"/>
  <c r="L111" i="5" s="1"/>
  <c r="E114" i="3" l="1"/>
  <c r="K112" i="5"/>
  <c r="L112" i="5" s="1"/>
  <c r="E115" i="3" l="1"/>
  <c r="K113" i="5"/>
  <c r="L113" i="5" s="1"/>
  <c r="E116" i="3" l="1"/>
  <c r="K114" i="5"/>
  <c r="L114" i="5" s="1"/>
  <c r="E117" i="3" l="1"/>
  <c r="K115" i="5"/>
  <c r="L115" i="5" s="1"/>
  <c r="E118" i="3" l="1"/>
  <c r="K116" i="5"/>
  <c r="L116" i="5" s="1"/>
  <c r="E119" i="3" l="1"/>
  <c r="K117" i="5"/>
  <c r="L117" i="5" s="1"/>
  <c r="E120" i="3" l="1"/>
  <c r="K118" i="5"/>
  <c r="L118" i="5" s="1"/>
  <c r="E121" i="3" l="1"/>
  <c r="K119" i="5"/>
  <c r="L119" i="5" s="1"/>
  <c r="E122" i="3" l="1"/>
  <c r="K120" i="5"/>
  <c r="L120" i="5" s="1"/>
  <c r="E123" i="3" l="1"/>
  <c r="K121" i="5"/>
  <c r="L121" i="5" s="1"/>
  <c r="E124" i="3" l="1"/>
  <c r="K122" i="5"/>
  <c r="L122" i="5" s="1"/>
  <c r="E125" i="3" l="1"/>
  <c r="K123" i="5"/>
  <c r="L123" i="5" s="1"/>
  <c r="E126" i="3" l="1"/>
  <c r="K124" i="5"/>
  <c r="L124" i="5" s="1"/>
  <c r="E127" i="3" l="1"/>
  <c r="K125" i="5"/>
  <c r="L125" i="5" s="1"/>
  <c r="E128" i="3" l="1"/>
  <c r="K126" i="5"/>
  <c r="L126" i="5" s="1"/>
  <c r="E129" i="3" l="1"/>
  <c r="K127" i="5"/>
  <c r="L127" i="5" s="1"/>
  <c r="E130" i="3" l="1"/>
  <c r="K128" i="5"/>
  <c r="L128" i="5" s="1"/>
  <c r="E131" i="3" l="1"/>
  <c r="K129" i="5"/>
  <c r="L129" i="5" s="1"/>
  <c r="E132" i="3" l="1"/>
  <c r="K130" i="5"/>
  <c r="L130" i="5" s="1"/>
  <c r="E133" i="3" l="1"/>
  <c r="K131" i="5"/>
  <c r="L131" i="5" s="1"/>
  <c r="E134" i="3" l="1"/>
  <c r="K132" i="5"/>
  <c r="L132" i="5" s="1"/>
  <c r="E135" i="3" l="1"/>
  <c r="K133" i="5"/>
  <c r="L133" i="5" s="1"/>
  <c r="E136" i="3" l="1"/>
  <c r="K134" i="5"/>
  <c r="L134" i="5" s="1"/>
  <c r="E137" i="3" l="1"/>
  <c r="K135" i="5"/>
  <c r="L135" i="5" s="1"/>
  <c r="E138" i="3" l="1"/>
  <c r="K136" i="5"/>
  <c r="L136" i="5" s="1"/>
  <c r="E139" i="3" l="1"/>
  <c r="K137" i="5"/>
  <c r="L137" i="5" s="1"/>
  <c r="E140" i="3" l="1"/>
  <c r="K138" i="5"/>
  <c r="L138" i="5" s="1"/>
  <c r="E141" i="3" l="1"/>
  <c r="K139" i="5"/>
  <c r="L139" i="5" s="1"/>
  <c r="E142" i="3" l="1"/>
  <c r="K140" i="5"/>
  <c r="L140" i="5" s="1"/>
  <c r="E143" i="3" l="1"/>
  <c r="K141" i="5"/>
  <c r="L141" i="5" s="1"/>
  <c r="E144" i="3" l="1"/>
  <c r="K142" i="5"/>
  <c r="L142" i="5" s="1"/>
  <c r="E145" i="3" l="1"/>
  <c r="K143" i="5"/>
  <c r="L143" i="5" s="1"/>
  <c r="E146" i="3" l="1"/>
  <c r="K144" i="5"/>
  <c r="L144" i="5" s="1"/>
  <c r="E147" i="3" l="1"/>
  <c r="K145" i="5"/>
  <c r="L145" i="5" s="1"/>
  <c r="E148" i="3" l="1"/>
  <c r="K146" i="5"/>
  <c r="L146" i="5" s="1"/>
  <c r="E149" i="3" l="1"/>
  <c r="K147" i="5"/>
  <c r="L147" i="5" s="1"/>
  <c r="E150" i="3" l="1"/>
  <c r="K148" i="5"/>
  <c r="L148" i="5" s="1"/>
  <c r="E151" i="3" l="1"/>
  <c r="K149" i="5"/>
  <c r="L149" i="5" s="1"/>
  <c r="E152" i="3" l="1"/>
  <c r="K150" i="5"/>
  <c r="L150" i="5" s="1"/>
  <c r="E153" i="3" l="1"/>
  <c r="K151" i="5"/>
  <c r="L151" i="5" s="1"/>
  <c r="E154" i="3" l="1"/>
  <c r="K152" i="5"/>
  <c r="L152" i="5" s="1"/>
  <c r="E155" i="3" l="1"/>
  <c r="K153" i="5"/>
  <c r="L153" i="5" s="1"/>
  <c r="E156" i="3" l="1"/>
  <c r="K154" i="5"/>
  <c r="L154" i="5" s="1"/>
  <c r="E157" i="3" l="1"/>
  <c r="K155" i="5"/>
  <c r="L155" i="5" s="1"/>
  <c r="E158" i="3" l="1"/>
  <c r="K156" i="5"/>
  <c r="L156" i="5" s="1"/>
  <c r="E159" i="3" l="1"/>
  <c r="K157" i="5"/>
  <c r="L157" i="5" s="1"/>
  <c r="E160" i="3" l="1"/>
  <c r="K158" i="5"/>
  <c r="L158" i="5" s="1"/>
  <c r="E161" i="3" l="1"/>
  <c r="K159" i="5"/>
  <c r="L159" i="5" s="1"/>
  <c r="E162" i="3" l="1"/>
  <c r="K160" i="5"/>
  <c r="L160" i="5" s="1"/>
  <c r="E163" i="3" l="1"/>
  <c r="K161" i="5"/>
  <c r="L161" i="5" s="1"/>
  <c r="E164" i="3" l="1"/>
  <c r="K162" i="5"/>
  <c r="L162" i="5" s="1"/>
  <c r="E165" i="3" l="1"/>
  <c r="K163" i="5"/>
  <c r="L163" i="5" s="1"/>
  <c r="E166" i="3" l="1"/>
  <c r="K164" i="5"/>
  <c r="L164" i="5" s="1"/>
  <c r="E167" i="3" l="1"/>
  <c r="K165" i="5"/>
  <c r="L165" i="5" s="1"/>
  <c r="E168" i="3" l="1"/>
  <c r="K166" i="5"/>
  <c r="L166" i="5" s="1"/>
  <c r="E169" i="3" l="1"/>
  <c r="K167" i="5"/>
  <c r="L167" i="5" s="1"/>
  <c r="E170" i="3" l="1"/>
  <c r="K168" i="5"/>
  <c r="L168" i="5" s="1"/>
  <c r="E171" i="3" l="1"/>
  <c r="K169" i="5"/>
  <c r="L169" i="5" s="1"/>
  <c r="E172" i="3" l="1"/>
  <c r="K170" i="5"/>
  <c r="L170" i="5" s="1"/>
  <c r="E173" i="3" l="1"/>
  <c r="K171" i="5"/>
  <c r="L171" i="5" s="1"/>
  <c r="E174" i="3" l="1"/>
  <c r="K172" i="5"/>
  <c r="L172" i="5" s="1"/>
  <c r="E175" i="3" l="1"/>
  <c r="K173" i="5"/>
  <c r="L173" i="5" s="1"/>
  <c r="E176" i="3" l="1"/>
  <c r="K174" i="5"/>
  <c r="L174" i="5" s="1"/>
  <c r="E177" i="3" l="1"/>
  <c r="K175" i="5"/>
  <c r="L175" i="5" s="1"/>
  <c r="E178" i="3" l="1"/>
  <c r="K176" i="5"/>
  <c r="L176" i="5" s="1"/>
  <c r="E179" i="3" l="1"/>
  <c r="K177" i="5"/>
  <c r="L177" i="5" s="1"/>
  <c r="E180" i="3" l="1"/>
  <c r="K178" i="5"/>
  <c r="L178" i="5" s="1"/>
  <c r="E181" i="3" l="1"/>
  <c r="K179" i="5"/>
  <c r="L179" i="5" s="1"/>
  <c r="E182" i="3" l="1"/>
  <c r="K180" i="5"/>
  <c r="L180" i="5" s="1"/>
  <c r="E183" i="3" l="1"/>
  <c r="K181" i="5"/>
  <c r="L181" i="5" s="1"/>
  <c r="E184" i="3" l="1"/>
  <c r="K182" i="5"/>
  <c r="L182" i="5" s="1"/>
  <c r="E185" i="3" l="1"/>
  <c r="K183" i="5"/>
  <c r="L183" i="5" s="1"/>
  <c r="E186" i="3" l="1"/>
  <c r="K184" i="5"/>
  <c r="L184" i="5" s="1"/>
  <c r="E187" i="3" l="1"/>
  <c r="K185" i="5"/>
  <c r="L185" i="5" s="1"/>
  <c r="E188" i="3" l="1"/>
  <c r="K186" i="5"/>
  <c r="L186" i="5" s="1"/>
  <c r="E189" i="3" l="1"/>
  <c r="K187" i="5"/>
  <c r="L187" i="5" s="1"/>
  <c r="E190" i="3" l="1"/>
  <c r="K188" i="5"/>
  <c r="L188" i="5" s="1"/>
  <c r="E191" i="3" l="1"/>
  <c r="K189" i="5"/>
  <c r="L189" i="5" s="1"/>
  <c r="E192" i="3" l="1"/>
  <c r="K190" i="5"/>
  <c r="L190" i="5" s="1"/>
  <c r="E193" i="3" l="1"/>
  <c r="K191" i="5"/>
  <c r="L191" i="5" s="1"/>
  <c r="E194" i="3" l="1"/>
  <c r="K192" i="5"/>
  <c r="L192" i="5" s="1"/>
  <c r="E195" i="3" l="1"/>
  <c r="K193" i="5"/>
  <c r="L193" i="5" s="1"/>
  <c r="E196" i="3" l="1"/>
  <c r="K194" i="5"/>
  <c r="L194" i="5" s="1"/>
  <c r="E197" i="3" l="1"/>
  <c r="K195" i="5"/>
  <c r="L195" i="5" s="1"/>
  <c r="E198" i="3" l="1"/>
  <c r="K196" i="5"/>
  <c r="L196" i="5" s="1"/>
  <c r="E199" i="3" l="1"/>
  <c r="K197" i="5"/>
  <c r="L197" i="5" s="1"/>
  <c r="E200" i="3" l="1"/>
  <c r="K198" i="5"/>
  <c r="L198" i="5" s="1"/>
  <c r="E201" i="3" l="1"/>
  <c r="K199" i="5"/>
  <c r="L199" i="5" s="1"/>
  <c r="E202" i="3" l="1"/>
  <c r="K200" i="5"/>
  <c r="L200" i="5" s="1"/>
  <c r="E203" i="3" l="1"/>
  <c r="K201" i="5"/>
  <c r="L201" i="5" s="1"/>
  <c r="E204" i="3" l="1"/>
  <c r="K202" i="5"/>
  <c r="L202" i="5" s="1"/>
  <c r="K203" i="5" l="1"/>
  <c r="L203" i="5" s="1"/>
  <c r="K204" i="5" l="1"/>
  <c r="G5" i="3"/>
  <c r="H5" i="3" s="1"/>
  <c r="G6" i="3" l="1"/>
  <c r="H6" i="3" s="1"/>
  <c r="J5" i="3"/>
  <c r="J6" i="3" l="1"/>
  <c r="G7" i="3"/>
  <c r="H7" i="3" s="1"/>
  <c r="J7" i="3" l="1"/>
  <c r="G8" i="3"/>
  <c r="H8" i="3" s="1"/>
  <c r="J8" i="3" l="1"/>
  <c r="G9" i="3"/>
  <c r="H9" i="3" s="1"/>
  <c r="J9" i="3" l="1"/>
  <c r="G10" i="3"/>
  <c r="H10" i="3" s="1"/>
  <c r="J10" i="3" l="1"/>
  <c r="G11" i="3"/>
  <c r="H11" i="3" s="1"/>
  <c r="J11" i="3" l="1"/>
  <c r="G12" i="3"/>
  <c r="H12" i="3" s="1"/>
  <c r="J12" i="3" l="1"/>
  <c r="G13" i="3"/>
  <c r="H13" i="3" s="1"/>
  <c r="J13" i="3" l="1"/>
  <c r="G14" i="3"/>
  <c r="H14" i="3" s="1"/>
  <c r="J14" i="3" l="1"/>
  <c r="G15" i="3"/>
  <c r="H15" i="3" s="1"/>
  <c r="J15" i="3" l="1"/>
  <c r="G16" i="3"/>
  <c r="H16" i="3" s="1"/>
  <c r="J16" i="3" l="1"/>
  <c r="G17" i="3"/>
  <c r="H17" i="3" s="1"/>
  <c r="J17" i="3" l="1"/>
  <c r="G18" i="3"/>
  <c r="H18" i="3" s="1"/>
  <c r="J18" i="3" l="1"/>
  <c r="G19" i="3"/>
  <c r="H19" i="3" s="1"/>
  <c r="J19" i="3" l="1"/>
  <c r="G20" i="3"/>
  <c r="H20" i="3" s="1"/>
  <c r="J20" i="3" l="1"/>
  <c r="G21" i="3"/>
  <c r="H21" i="3" s="1"/>
  <c r="J21" i="3" l="1"/>
  <c r="G22" i="3"/>
  <c r="H22" i="3" s="1"/>
  <c r="J22" i="3" l="1"/>
  <c r="G23" i="3"/>
  <c r="H23" i="3" s="1"/>
  <c r="J23" i="3" l="1"/>
  <c r="G24" i="3"/>
  <c r="H24" i="3" s="1"/>
  <c r="J24" i="3" l="1"/>
  <c r="G25" i="3"/>
  <c r="H25" i="3" s="1"/>
  <c r="J25" i="3" l="1"/>
  <c r="G26" i="3"/>
  <c r="H26" i="3" s="1"/>
  <c r="J26" i="3" l="1"/>
  <c r="G27" i="3"/>
  <c r="H27" i="3" s="1"/>
  <c r="J27" i="3" l="1"/>
  <c r="G28" i="3"/>
  <c r="H28" i="3" s="1"/>
  <c r="J28" i="3" l="1"/>
  <c r="G29" i="3"/>
  <c r="H29" i="3" s="1"/>
  <c r="J29" i="3" l="1"/>
  <c r="G30" i="3"/>
  <c r="H30" i="3" s="1"/>
  <c r="J30" i="3" l="1"/>
  <c r="G31" i="3"/>
  <c r="H31" i="3" s="1"/>
  <c r="J31" i="3" l="1"/>
  <c r="G32" i="3"/>
  <c r="H32" i="3" s="1"/>
  <c r="J32" i="3" l="1"/>
  <c r="G33" i="3"/>
  <c r="H33" i="3" s="1"/>
  <c r="J33" i="3" l="1"/>
  <c r="G34" i="3"/>
  <c r="H34" i="3" s="1"/>
  <c r="J34" i="3" l="1"/>
  <c r="G35" i="3"/>
  <c r="H35" i="3" s="1"/>
  <c r="J35" i="3" l="1"/>
  <c r="G36" i="3"/>
  <c r="H36" i="3" s="1"/>
  <c r="J36" i="3" l="1"/>
  <c r="G37" i="3"/>
  <c r="H37" i="3" s="1"/>
  <c r="J37" i="3" l="1"/>
  <c r="G38" i="3"/>
  <c r="H38" i="3" s="1"/>
  <c r="J38" i="3" l="1"/>
  <c r="G39" i="3"/>
  <c r="H39" i="3" s="1"/>
  <c r="J39" i="3" l="1"/>
  <c r="G40" i="3"/>
  <c r="H40" i="3" s="1"/>
  <c r="J40" i="3" l="1"/>
  <c r="G41" i="3"/>
  <c r="H41" i="3" s="1"/>
  <c r="J41" i="3" l="1"/>
  <c r="G42" i="3"/>
  <c r="H42" i="3" s="1"/>
  <c r="J42" i="3" l="1"/>
  <c r="G43" i="3"/>
  <c r="H43" i="3" s="1"/>
  <c r="J43" i="3" l="1"/>
  <c r="G44" i="3"/>
  <c r="H44" i="3" s="1"/>
  <c r="J44" i="3" l="1"/>
  <c r="G45" i="3"/>
  <c r="H45" i="3" s="1"/>
  <c r="J45" i="3" l="1"/>
  <c r="G46" i="3"/>
  <c r="H46" i="3" s="1"/>
  <c r="J46" i="3" l="1"/>
  <c r="G47" i="3"/>
  <c r="H47" i="3" s="1"/>
  <c r="J47" i="3" l="1"/>
  <c r="G48" i="3"/>
  <c r="H48" i="3" s="1"/>
  <c r="J48" i="3" l="1"/>
  <c r="G49" i="3"/>
  <c r="H49" i="3" s="1"/>
  <c r="J49" i="3" l="1"/>
  <c r="G50" i="3"/>
  <c r="H50" i="3" s="1"/>
  <c r="J50" i="3" l="1"/>
  <c r="G51" i="3"/>
  <c r="H51" i="3" s="1"/>
  <c r="J51" i="3" l="1"/>
  <c r="G52" i="3"/>
  <c r="H52" i="3" s="1"/>
  <c r="J52" i="3" l="1"/>
  <c r="G53" i="3"/>
  <c r="H53" i="3" s="1"/>
  <c r="J53" i="3" l="1"/>
  <c r="G54" i="3"/>
  <c r="H54" i="3" s="1"/>
  <c r="J54" i="3" l="1"/>
  <c r="G55" i="3"/>
  <c r="H55" i="3" s="1"/>
  <c r="J55" i="3" l="1"/>
  <c r="G56" i="3"/>
  <c r="H56" i="3" s="1"/>
  <c r="J56" i="3" l="1"/>
  <c r="G57" i="3"/>
  <c r="H57" i="3" s="1"/>
  <c r="J57" i="3" l="1"/>
  <c r="G58" i="3"/>
  <c r="H58" i="3" s="1"/>
  <c r="J58" i="3" l="1"/>
  <c r="G59" i="3"/>
  <c r="H59" i="3" s="1"/>
  <c r="J59" i="3" l="1"/>
  <c r="G60" i="3"/>
  <c r="H60" i="3" s="1"/>
  <c r="J60" i="3" l="1"/>
  <c r="G61" i="3"/>
  <c r="H61" i="3" s="1"/>
  <c r="J61" i="3" l="1"/>
  <c r="G62" i="3"/>
  <c r="H62" i="3" s="1"/>
  <c r="J62" i="3" l="1"/>
  <c r="G63" i="3"/>
  <c r="H63" i="3" s="1"/>
  <c r="J63" i="3" l="1"/>
  <c r="G64" i="3"/>
  <c r="H64" i="3" s="1"/>
  <c r="J64" i="3" l="1"/>
  <c r="G65" i="3"/>
  <c r="H65" i="3" s="1"/>
  <c r="J65" i="3" l="1"/>
  <c r="G66" i="3"/>
  <c r="H66" i="3" s="1"/>
  <c r="J66" i="3" l="1"/>
  <c r="G67" i="3"/>
  <c r="H67" i="3" s="1"/>
  <c r="J67" i="3" l="1"/>
  <c r="G68" i="3"/>
  <c r="H68" i="3" s="1"/>
  <c r="J68" i="3" l="1"/>
  <c r="G69" i="3"/>
  <c r="H69" i="3" s="1"/>
  <c r="J69" i="3" l="1"/>
  <c r="G70" i="3"/>
  <c r="H70" i="3" s="1"/>
  <c r="J70" i="3" l="1"/>
  <c r="G71" i="3"/>
  <c r="H71" i="3" s="1"/>
  <c r="J71" i="3" l="1"/>
  <c r="G72" i="3"/>
  <c r="H72" i="3" s="1"/>
  <c r="J72" i="3" l="1"/>
  <c r="G73" i="3"/>
  <c r="H73" i="3" s="1"/>
  <c r="J73" i="3" l="1"/>
  <c r="G74" i="3"/>
  <c r="H74" i="3" s="1"/>
  <c r="J74" i="3" l="1"/>
  <c r="G75" i="3"/>
  <c r="H75" i="3" s="1"/>
  <c r="J75" i="3" l="1"/>
  <c r="G76" i="3"/>
  <c r="H76" i="3" s="1"/>
  <c r="J76" i="3" l="1"/>
  <c r="G77" i="3"/>
  <c r="H77" i="3" s="1"/>
  <c r="J77" i="3" l="1"/>
  <c r="G78" i="3"/>
  <c r="H78" i="3" s="1"/>
  <c r="J78" i="3" l="1"/>
  <c r="G79" i="3"/>
  <c r="H79" i="3" s="1"/>
  <c r="J79" i="3" l="1"/>
  <c r="G80" i="3"/>
  <c r="H80" i="3" s="1"/>
  <c r="J80" i="3" l="1"/>
  <c r="G81" i="3"/>
  <c r="H81" i="3" s="1"/>
  <c r="J81" i="3" l="1"/>
  <c r="G82" i="3"/>
  <c r="H82" i="3" s="1"/>
  <c r="J82" i="3" l="1"/>
  <c r="G83" i="3"/>
  <c r="H83" i="3" s="1"/>
  <c r="J83" i="3" l="1"/>
  <c r="G84" i="3"/>
  <c r="H84" i="3" s="1"/>
  <c r="J84" i="3" l="1"/>
  <c r="G85" i="3"/>
  <c r="H85" i="3" s="1"/>
  <c r="J85" i="3" l="1"/>
  <c r="G86" i="3"/>
  <c r="H86" i="3" s="1"/>
  <c r="J86" i="3" l="1"/>
  <c r="G87" i="3"/>
  <c r="H87" i="3" s="1"/>
  <c r="J87" i="3" l="1"/>
  <c r="G88" i="3"/>
  <c r="H88" i="3" s="1"/>
  <c r="J88" i="3" l="1"/>
  <c r="G89" i="3"/>
  <c r="H89" i="3" s="1"/>
  <c r="J89" i="3" l="1"/>
  <c r="G90" i="3"/>
  <c r="H90" i="3" s="1"/>
  <c r="J90" i="3" l="1"/>
  <c r="G91" i="3"/>
  <c r="H91" i="3" s="1"/>
  <c r="J91" i="3" l="1"/>
  <c r="G92" i="3"/>
  <c r="H92" i="3" s="1"/>
  <c r="J92" i="3" l="1"/>
  <c r="G93" i="3"/>
  <c r="H93" i="3" s="1"/>
  <c r="J93" i="3" l="1"/>
  <c r="G94" i="3"/>
  <c r="H94" i="3" s="1"/>
  <c r="J94" i="3" l="1"/>
  <c r="G95" i="3"/>
  <c r="H95" i="3" s="1"/>
  <c r="J95" i="3" l="1"/>
  <c r="G96" i="3"/>
  <c r="H96" i="3" s="1"/>
  <c r="J96" i="3" l="1"/>
  <c r="G97" i="3"/>
  <c r="H97" i="3" s="1"/>
  <c r="J97" i="3" l="1"/>
  <c r="G98" i="3"/>
  <c r="H98" i="3" s="1"/>
  <c r="J98" i="3" l="1"/>
  <c r="G99" i="3"/>
  <c r="H99" i="3" s="1"/>
  <c r="J99" i="3" l="1"/>
  <c r="G100" i="3"/>
  <c r="H100" i="3" s="1"/>
  <c r="J100" i="3" l="1"/>
  <c r="G101" i="3"/>
  <c r="H101" i="3" s="1"/>
  <c r="J101" i="3" l="1"/>
  <c r="G102" i="3"/>
  <c r="H102" i="3" s="1"/>
  <c r="J102" i="3" l="1"/>
  <c r="G103" i="3"/>
  <c r="H103" i="3" s="1"/>
  <c r="J103" i="3" l="1"/>
  <c r="G104" i="3"/>
  <c r="H104" i="3" s="1"/>
  <c r="J104" i="3" l="1"/>
  <c r="G105" i="3"/>
  <c r="H105" i="3" s="1"/>
  <c r="J105" i="3" l="1"/>
  <c r="G106" i="3"/>
  <c r="H106" i="3" s="1"/>
  <c r="J106" i="3" l="1"/>
  <c r="G107" i="3"/>
  <c r="H107" i="3" s="1"/>
  <c r="J107" i="3" l="1"/>
  <c r="G108" i="3"/>
  <c r="H108" i="3" s="1"/>
  <c r="J108" i="3" l="1"/>
  <c r="G109" i="3"/>
  <c r="H109" i="3" s="1"/>
  <c r="J109" i="3" l="1"/>
  <c r="G110" i="3"/>
  <c r="H110" i="3" s="1"/>
  <c r="J110" i="3" l="1"/>
  <c r="G111" i="3"/>
  <c r="H111" i="3" s="1"/>
  <c r="J111" i="3" l="1"/>
  <c r="G112" i="3"/>
  <c r="H112" i="3" s="1"/>
  <c r="J112" i="3" l="1"/>
  <c r="G113" i="3"/>
  <c r="H113" i="3" s="1"/>
  <c r="J113" i="3" l="1"/>
  <c r="G114" i="3"/>
  <c r="H114" i="3" s="1"/>
  <c r="J114" i="3" l="1"/>
  <c r="G115" i="3"/>
  <c r="H115" i="3" s="1"/>
  <c r="J115" i="3" l="1"/>
  <c r="G116" i="3"/>
  <c r="H116" i="3" s="1"/>
  <c r="J116" i="3" l="1"/>
  <c r="G117" i="3"/>
  <c r="H117" i="3" s="1"/>
  <c r="J117" i="3" l="1"/>
  <c r="G118" i="3"/>
  <c r="H118" i="3" s="1"/>
  <c r="J118" i="3" l="1"/>
  <c r="G119" i="3"/>
  <c r="H119" i="3" s="1"/>
  <c r="J119" i="3" l="1"/>
  <c r="G120" i="3"/>
  <c r="H120" i="3" s="1"/>
  <c r="J120" i="3" l="1"/>
  <c r="G121" i="3"/>
  <c r="H121" i="3" s="1"/>
  <c r="J121" i="3" l="1"/>
  <c r="G122" i="3"/>
  <c r="H122" i="3" s="1"/>
  <c r="J122" i="3" l="1"/>
  <c r="G123" i="3"/>
  <c r="H123" i="3" s="1"/>
  <c r="J123" i="3" l="1"/>
  <c r="G124" i="3"/>
  <c r="H124" i="3" s="1"/>
  <c r="J124" i="3" l="1"/>
  <c r="G125" i="3"/>
  <c r="H125" i="3" s="1"/>
  <c r="J125" i="3" l="1"/>
  <c r="G126" i="3"/>
  <c r="H126" i="3" s="1"/>
  <c r="J126" i="3" l="1"/>
  <c r="G127" i="3"/>
  <c r="H127" i="3" s="1"/>
  <c r="J127" i="3" l="1"/>
  <c r="G128" i="3"/>
  <c r="H128" i="3" s="1"/>
  <c r="J128" i="3" l="1"/>
  <c r="G129" i="3"/>
  <c r="H129" i="3" s="1"/>
  <c r="J129" i="3" l="1"/>
  <c r="G130" i="3"/>
  <c r="H130" i="3" s="1"/>
  <c r="J130" i="3" l="1"/>
  <c r="G131" i="3"/>
  <c r="H131" i="3" s="1"/>
  <c r="J131" i="3" l="1"/>
  <c r="G132" i="3"/>
  <c r="H132" i="3" s="1"/>
  <c r="J132" i="3" l="1"/>
  <c r="G133" i="3"/>
  <c r="H133" i="3" s="1"/>
  <c r="J133" i="3" l="1"/>
  <c r="G134" i="3"/>
  <c r="H134" i="3" s="1"/>
  <c r="J134" i="3" l="1"/>
  <c r="G135" i="3"/>
  <c r="H135" i="3" s="1"/>
  <c r="J135" i="3" l="1"/>
  <c r="G136" i="3"/>
  <c r="H136" i="3" s="1"/>
  <c r="J136" i="3" l="1"/>
  <c r="G137" i="3"/>
  <c r="H137" i="3" s="1"/>
  <c r="J137" i="3" l="1"/>
  <c r="G138" i="3"/>
  <c r="H138" i="3" s="1"/>
  <c r="J138" i="3" l="1"/>
  <c r="G139" i="3"/>
  <c r="H139" i="3" s="1"/>
  <c r="J139" i="3" l="1"/>
  <c r="G140" i="3"/>
  <c r="H140" i="3" s="1"/>
  <c r="J140" i="3" l="1"/>
  <c r="G141" i="3"/>
  <c r="H141" i="3" s="1"/>
  <c r="J141" i="3" l="1"/>
  <c r="G142" i="3"/>
  <c r="H142" i="3" s="1"/>
  <c r="J142" i="3" l="1"/>
  <c r="G143" i="3"/>
  <c r="H143" i="3" s="1"/>
  <c r="J143" i="3" l="1"/>
  <c r="G144" i="3"/>
  <c r="H144" i="3" s="1"/>
  <c r="J144" i="3" l="1"/>
  <c r="G145" i="3"/>
  <c r="H145" i="3" s="1"/>
  <c r="J145" i="3" l="1"/>
  <c r="G146" i="3"/>
  <c r="H146" i="3" s="1"/>
  <c r="J146" i="3" l="1"/>
  <c r="G147" i="3"/>
  <c r="H147" i="3" s="1"/>
  <c r="J147" i="3" l="1"/>
  <c r="G148" i="3"/>
  <c r="H148" i="3" s="1"/>
  <c r="J148" i="3" l="1"/>
  <c r="G149" i="3"/>
  <c r="H149" i="3" s="1"/>
  <c r="J149" i="3" l="1"/>
  <c r="G150" i="3"/>
  <c r="H150" i="3" s="1"/>
  <c r="J150" i="3" l="1"/>
  <c r="G151" i="3"/>
  <c r="H151" i="3" s="1"/>
  <c r="J151" i="3" l="1"/>
  <c r="G152" i="3"/>
  <c r="H152" i="3" s="1"/>
  <c r="J152" i="3" l="1"/>
  <c r="G153" i="3"/>
  <c r="H153" i="3" s="1"/>
  <c r="J153" i="3" l="1"/>
  <c r="G154" i="3"/>
  <c r="H154" i="3" s="1"/>
  <c r="J154" i="3" l="1"/>
  <c r="G155" i="3"/>
  <c r="H155" i="3" s="1"/>
  <c r="J155" i="3" l="1"/>
  <c r="G156" i="3"/>
  <c r="H156" i="3" s="1"/>
  <c r="J156" i="3" l="1"/>
  <c r="G157" i="3"/>
  <c r="H157" i="3" s="1"/>
  <c r="J157" i="3" l="1"/>
  <c r="G158" i="3"/>
  <c r="H158" i="3" s="1"/>
  <c r="J158" i="3" l="1"/>
  <c r="G159" i="3"/>
  <c r="H159" i="3" s="1"/>
  <c r="J159" i="3" l="1"/>
  <c r="G160" i="3"/>
  <c r="H160" i="3" s="1"/>
  <c r="J160" i="3" l="1"/>
  <c r="G161" i="3"/>
  <c r="H161" i="3" s="1"/>
  <c r="J161" i="3" l="1"/>
  <c r="G162" i="3"/>
  <c r="H162" i="3" s="1"/>
  <c r="J162" i="3" l="1"/>
  <c r="G163" i="3"/>
  <c r="H163" i="3" s="1"/>
  <c r="J163" i="3" l="1"/>
  <c r="G164" i="3"/>
  <c r="H164" i="3" s="1"/>
  <c r="J164" i="3" l="1"/>
  <c r="G165" i="3"/>
  <c r="H165" i="3" s="1"/>
  <c r="J165" i="3" l="1"/>
  <c r="G166" i="3"/>
  <c r="H166" i="3" s="1"/>
  <c r="J166" i="3" l="1"/>
  <c r="G167" i="3"/>
  <c r="H167" i="3" s="1"/>
  <c r="J167" i="3" l="1"/>
  <c r="G168" i="3"/>
  <c r="H168" i="3" s="1"/>
  <c r="J168" i="3" l="1"/>
  <c r="G169" i="3"/>
  <c r="H169" i="3" s="1"/>
  <c r="J169" i="3" l="1"/>
  <c r="G170" i="3"/>
  <c r="H170" i="3" s="1"/>
  <c r="J170" i="3" l="1"/>
  <c r="G171" i="3"/>
  <c r="H171" i="3" s="1"/>
  <c r="J171" i="3" l="1"/>
  <c r="G172" i="3"/>
  <c r="H172" i="3" s="1"/>
  <c r="J172" i="3" l="1"/>
  <c r="G173" i="3"/>
  <c r="H173" i="3" s="1"/>
  <c r="J173" i="3" l="1"/>
  <c r="G174" i="3"/>
  <c r="H174" i="3" s="1"/>
  <c r="J174" i="3" l="1"/>
  <c r="G175" i="3"/>
  <c r="H175" i="3" s="1"/>
  <c r="J175" i="3" l="1"/>
  <c r="G176" i="3"/>
  <c r="H176" i="3" s="1"/>
  <c r="J176" i="3" l="1"/>
  <c r="G177" i="3"/>
  <c r="H177" i="3" s="1"/>
  <c r="J177" i="3" l="1"/>
  <c r="G178" i="3"/>
  <c r="H178" i="3" s="1"/>
  <c r="J178" i="3" l="1"/>
  <c r="G179" i="3"/>
  <c r="H179" i="3" s="1"/>
  <c r="J179" i="3" l="1"/>
  <c r="G180" i="3"/>
  <c r="H180" i="3" s="1"/>
  <c r="J180" i="3" l="1"/>
  <c r="G181" i="3"/>
  <c r="H181" i="3" s="1"/>
  <c r="J181" i="3" l="1"/>
  <c r="G182" i="3"/>
  <c r="H182" i="3" s="1"/>
  <c r="J182" i="3" l="1"/>
  <c r="G183" i="3"/>
  <c r="H183" i="3" s="1"/>
  <c r="J183" i="3" l="1"/>
  <c r="G184" i="3"/>
  <c r="H184" i="3" s="1"/>
  <c r="J184" i="3" l="1"/>
  <c r="G185" i="3"/>
  <c r="H185" i="3" s="1"/>
  <c r="J185" i="3" l="1"/>
  <c r="G186" i="3"/>
  <c r="H186" i="3" s="1"/>
  <c r="J186" i="3" l="1"/>
  <c r="G187" i="3"/>
  <c r="H187" i="3" s="1"/>
  <c r="J187" i="3" l="1"/>
  <c r="G188" i="3"/>
  <c r="H188" i="3" s="1"/>
  <c r="J188" i="3" l="1"/>
  <c r="G189" i="3"/>
  <c r="H189" i="3" s="1"/>
  <c r="J189" i="3" l="1"/>
  <c r="G190" i="3"/>
  <c r="H190" i="3" s="1"/>
  <c r="J190" i="3" l="1"/>
  <c r="G191" i="3"/>
  <c r="H191" i="3" s="1"/>
  <c r="J191" i="3" l="1"/>
  <c r="G192" i="3"/>
  <c r="H192" i="3" s="1"/>
  <c r="J192" i="3" l="1"/>
  <c r="G193" i="3"/>
  <c r="H193" i="3" s="1"/>
  <c r="J193" i="3" l="1"/>
  <c r="G194" i="3"/>
  <c r="H194" i="3" s="1"/>
  <c r="J194" i="3" l="1"/>
  <c r="G195" i="3"/>
  <c r="H195" i="3" s="1"/>
  <c r="J195" i="3" l="1"/>
  <c r="G196" i="3"/>
  <c r="H196" i="3" s="1"/>
  <c r="J196" i="3" l="1"/>
  <c r="G197" i="3"/>
  <c r="H197" i="3" s="1"/>
  <c r="J197" i="3" l="1"/>
  <c r="G198" i="3"/>
  <c r="H198" i="3" s="1"/>
  <c r="J198" i="3" l="1"/>
  <c r="G199" i="3"/>
  <c r="H199" i="3" s="1"/>
  <c r="J199" i="3" l="1"/>
  <c r="G200" i="3"/>
  <c r="H200" i="3" s="1"/>
  <c r="J200" i="3" l="1"/>
  <c r="G201" i="3"/>
  <c r="H201" i="3" s="1"/>
  <c r="J201" i="3" l="1"/>
  <c r="G202" i="3"/>
  <c r="H202" i="3" s="1"/>
  <c r="J202" i="3" l="1"/>
  <c r="G203" i="3"/>
  <c r="H203" i="3" s="1"/>
  <c r="J203" i="3" l="1"/>
  <c r="J204" i="3"/>
  <c r="K4" i="3" s="1"/>
  <c r="C25" i="3" s="1"/>
  <c r="T6" i="5" l="1"/>
  <c r="P5" i="5"/>
  <c r="R5" i="5" s="1"/>
  <c r="T7" i="5" l="1"/>
  <c r="O7" i="5" s="1"/>
  <c r="Q7" i="5" s="1"/>
  <c r="O6" i="5"/>
  <c r="Q6" i="5" s="1"/>
  <c r="T8" i="5"/>
  <c r="O8" i="5" s="1"/>
  <c r="Q8" i="5" s="1"/>
  <c r="P6" i="5" l="1"/>
  <c r="R6" i="5" s="1"/>
  <c r="T9" i="5"/>
  <c r="O9" i="5" s="1"/>
  <c r="Q9" i="5" s="1"/>
  <c r="P8" i="5"/>
  <c r="P7" i="5"/>
  <c r="T10" i="5" l="1"/>
  <c r="O10" i="5" s="1"/>
  <c r="Q10" i="5" s="1"/>
  <c r="P9" i="5"/>
  <c r="R7" i="5"/>
  <c r="R8" i="5" s="1"/>
  <c r="T11" i="5" l="1"/>
  <c r="O11" i="5" s="1"/>
  <c r="Q11" i="5" s="1"/>
  <c r="P10" i="5"/>
  <c r="R9" i="5"/>
  <c r="R10" i="5" l="1"/>
  <c r="P11" i="5"/>
  <c r="T12" i="5"/>
  <c r="O12" i="5" s="1"/>
  <c r="Q12" i="5" s="1"/>
  <c r="P12" i="5" s="1"/>
  <c r="T13" i="5" l="1"/>
  <c r="R11" i="5"/>
  <c r="R12" i="5"/>
  <c r="T14" i="5"/>
  <c r="O14" i="5" s="1"/>
  <c r="Q14" i="5" s="1"/>
  <c r="O13" i="5"/>
  <c r="Q13" i="5" s="1"/>
  <c r="T15" i="5" l="1"/>
  <c r="T16" i="5" s="1"/>
  <c r="O16" i="5" s="1"/>
  <c r="Q16" i="5" s="1"/>
  <c r="P14" i="5"/>
  <c r="P13" i="5"/>
  <c r="R13" i="5" s="1"/>
  <c r="O15" i="5" l="1"/>
  <c r="Q15" i="5" s="1"/>
  <c r="P15" i="5" s="1"/>
  <c r="R15" i="5" s="1"/>
  <c r="R14" i="5"/>
  <c r="P16" i="5"/>
  <c r="T17" i="5"/>
  <c r="O17" i="5" s="1"/>
  <c r="Q17" i="5" s="1"/>
  <c r="R16" i="5" l="1"/>
  <c r="T18" i="5"/>
  <c r="O18" i="5" s="1"/>
  <c r="Q18" i="5" s="1"/>
  <c r="P17" i="5"/>
  <c r="R17" i="5" s="1"/>
  <c r="P18" i="5" l="1"/>
  <c r="R18" i="5" s="1"/>
  <c r="T19" i="5"/>
  <c r="O19" i="5" s="1"/>
  <c r="Q19" i="5" s="1"/>
  <c r="T20" i="5" l="1"/>
  <c r="O20" i="5" s="1"/>
  <c r="Q20" i="5" s="1"/>
  <c r="P19" i="5"/>
  <c r="R19" i="5" s="1"/>
  <c r="P20" i="5" l="1"/>
  <c r="R20" i="5" s="1"/>
  <c r="T21" i="5"/>
  <c r="O21" i="5" s="1"/>
  <c r="Q21" i="5" s="1"/>
  <c r="T22" i="5" l="1"/>
  <c r="O22" i="5" s="1"/>
  <c r="Q22" i="5" s="1"/>
  <c r="P21" i="5"/>
  <c r="R21" i="5" s="1"/>
  <c r="T23" i="5" l="1"/>
  <c r="O23" i="5" s="1"/>
  <c r="Q23" i="5" s="1"/>
  <c r="P22" i="5"/>
  <c r="R22" i="5" s="1"/>
  <c r="P23" i="5" l="1"/>
  <c r="R23" i="5" s="1"/>
  <c r="T24" i="5"/>
  <c r="O24" i="5" s="1"/>
  <c r="Q24" i="5" s="1"/>
  <c r="P24" i="5" l="1"/>
  <c r="R24" i="5" s="1"/>
  <c r="T25" i="5"/>
  <c r="O25" i="5" s="1"/>
  <c r="Q25" i="5" s="1"/>
  <c r="P25" i="5" l="1"/>
  <c r="R25" i="5" s="1"/>
  <c r="T26" i="5"/>
  <c r="O26" i="5" s="1"/>
  <c r="Q26" i="5" s="1"/>
  <c r="T27" i="5" l="1"/>
  <c r="O27" i="5" s="1"/>
  <c r="Q27" i="5" s="1"/>
  <c r="P26" i="5"/>
  <c r="R26" i="5" s="1"/>
  <c r="P27" i="5" l="1"/>
  <c r="R27" i="5" s="1"/>
  <c r="T28" i="5"/>
  <c r="O28" i="5" s="1"/>
  <c r="Q28" i="5" s="1"/>
  <c r="P28" i="5" l="1"/>
  <c r="R28" i="5" s="1"/>
  <c r="T29" i="5"/>
  <c r="O29" i="5" s="1"/>
  <c r="Q29" i="5" s="1"/>
  <c r="T30" i="5" l="1"/>
  <c r="O30" i="5" s="1"/>
  <c r="Q30" i="5" s="1"/>
  <c r="P29" i="5"/>
  <c r="R29" i="5" s="1"/>
  <c r="P30" i="5" l="1"/>
  <c r="R30" i="5" s="1"/>
  <c r="T31" i="5"/>
  <c r="O31" i="5" s="1"/>
  <c r="Q31" i="5" s="1"/>
  <c r="P31" i="5" l="1"/>
  <c r="R31" i="5" s="1"/>
  <c r="T32" i="5"/>
  <c r="O32" i="5" s="1"/>
  <c r="Q32" i="5" s="1"/>
  <c r="P32" i="5" l="1"/>
  <c r="R32" i="5" s="1"/>
  <c r="T33" i="5"/>
  <c r="O33" i="5" s="1"/>
  <c r="Q33" i="5" s="1"/>
  <c r="T34" i="5" l="1"/>
  <c r="O34" i="5" s="1"/>
  <c r="Q34" i="5" s="1"/>
  <c r="P33" i="5"/>
  <c r="R33" i="5" s="1"/>
  <c r="P34" i="5" l="1"/>
  <c r="R34" i="5" s="1"/>
  <c r="T35" i="5"/>
  <c r="O35" i="5" s="1"/>
  <c r="Q35" i="5" s="1"/>
  <c r="T36" i="5" l="1"/>
  <c r="O36" i="5" s="1"/>
  <c r="Q36" i="5" s="1"/>
  <c r="P35" i="5"/>
  <c r="R35" i="5" s="1"/>
  <c r="P36" i="5" l="1"/>
  <c r="R36" i="5" s="1"/>
  <c r="T37" i="5"/>
  <c r="O37" i="5" s="1"/>
  <c r="Q37" i="5" s="1"/>
  <c r="P37" i="5" l="1"/>
  <c r="R37" i="5" s="1"/>
  <c r="T38" i="5"/>
  <c r="O38" i="5" s="1"/>
  <c r="Q38" i="5" s="1"/>
  <c r="T39" i="5" l="1"/>
  <c r="O39" i="5" s="1"/>
  <c r="Q39" i="5" s="1"/>
  <c r="P38" i="5"/>
  <c r="R38" i="5" s="1"/>
  <c r="P39" i="5" l="1"/>
  <c r="R39" i="5" s="1"/>
  <c r="T40" i="5"/>
  <c r="O40" i="5" s="1"/>
  <c r="Q40" i="5" s="1"/>
  <c r="P40" i="5" l="1"/>
  <c r="R40" i="5" s="1"/>
  <c r="T41" i="5"/>
  <c r="O41" i="5" s="1"/>
  <c r="Q41" i="5" s="1"/>
  <c r="T42" i="5" l="1"/>
  <c r="O42" i="5" s="1"/>
  <c r="Q42" i="5" s="1"/>
  <c r="P41" i="5"/>
  <c r="R41" i="5" s="1"/>
  <c r="P42" i="5" l="1"/>
  <c r="R42" i="5" s="1"/>
  <c r="T43" i="5"/>
  <c r="O43" i="5" s="1"/>
  <c r="Q43" i="5" s="1"/>
  <c r="P43" i="5" l="1"/>
  <c r="R43" i="5" s="1"/>
  <c r="T44" i="5"/>
  <c r="O44" i="5" s="1"/>
  <c r="Q44" i="5" s="1"/>
  <c r="T45" i="5" l="1"/>
  <c r="O45" i="5" s="1"/>
  <c r="Q45" i="5" s="1"/>
  <c r="P44" i="5"/>
  <c r="R44" i="5" s="1"/>
  <c r="P45" i="5" l="1"/>
  <c r="R45" i="5" s="1"/>
  <c r="T46" i="5"/>
  <c r="O46" i="5" s="1"/>
  <c r="Q46" i="5" s="1"/>
  <c r="P46" i="5" l="1"/>
  <c r="R46" i="5" s="1"/>
  <c r="T47" i="5"/>
  <c r="O47" i="5" s="1"/>
  <c r="Q47" i="5" s="1"/>
  <c r="T48" i="5" l="1"/>
  <c r="O48" i="5" s="1"/>
  <c r="Q48" i="5" s="1"/>
  <c r="P47" i="5"/>
  <c r="R47" i="5" s="1"/>
  <c r="P48" i="5" l="1"/>
  <c r="R48" i="5" s="1"/>
  <c r="T49" i="5"/>
  <c r="O49" i="5" s="1"/>
  <c r="Q49" i="5" s="1"/>
  <c r="P49" i="5" l="1"/>
  <c r="R49" i="5" s="1"/>
  <c r="T50" i="5"/>
  <c r="O50" i="5" s="1"/>
  <c r="Q50" i="5" s="1"/>
  <c r="T51" i="5" l="1"/>
  <c r="O51" i="5" s="1"/>
  <c r="Q51" i="5" s="1"/>
  <c r="P50" i="5"/>
  <c r="R50" i="5" s="1"/>
  <c r="P51" i="5" l="1"/>
  <c r="R51" i="5" s="1"/>
  <c r="T52" i="5"/>
  <c r="O52" i="5" s="1"/>
  <c r="Q52" i="5" s="1"/>
  <c r="P52" i="5" l="1"/>
  <c r="R52" i="5" s="1"/>
  <c r="T53" i="5"/>
  <c r="O53" i="5" s="1"/>
  <c r="Q53" i="5" s="1"/>
  <c r="P53" i="5" l="1"/>
  <c r="R53" i="5" s="1"/>
  <c r="T54" i="5"/>
  <c r="O54" i="5" s="1"/>
  <c r="Q54" i="5" s="1"/>
  <c r="P54" i="5" l="1"/>
  <c r="R54" i="5" s="1"/>
  <c r="T55" i="5"/>
  <c r="O55" i="5" s="1"/>
  <c r="Q55" i="5" s="1"/>
  <c r="P55" i="5" l="1"/>
  <c r="R55" i="5" s="1"/>
  <c r="T56" i="5"/>
  <c r="O56" i="5" s="1"/>
  <c r="Q56" i="5" s="1"/>
  <c r="T57" i="5" l="1"/>
  <c r="O57" i="5" s="1"/>
  <c r="Q57" i="5" s="1"/>
  <c r="P56" i="5"/>
  <c r="R56" i="5" s="1"/>
  <c r="P57" i="5" l="1"/>
  <c r="R57" i="5" s="1"/>
  <c r="T58" i="5"/>
  <c r="O58" i="5" s="1"/>
  <c r="Q58" i="5" s="1"/>
  <c r="P58" i="5" l="1"/>
  <c r="R58" i="5" s="1"/>
  <c r="T59" i="5"/>
  <c r="O59" i="5" s="1"/>
  <c r="Q59" i="5" s="1"/>
  <c r="T60" i="5" l="1"/>
  <c r="O60" i="5" s="1"/>
  <c r="Q60" i="5" s="1"/>
  <c r="P59" i="5"/>
  <c r="R59" i="5" s="1"/>
  <c r="P60" i="5" l="1"/>
  <c r="R60" i="5" s="1"/>
  <c r="T61" i="5"/>
  <c r="O61" i="5" s="1"/>
  <c r="Q61" i="5" s="1"/>
  <c r="P61" i="5" l="1"/>
  <c r="R61" i="5" s="1"/>
  <c r="T62" i="5"/>
  <c r="O62" i="5" s="1"/>
  <c r="Q62" i="5" s="1"/>
  <c r="T63" i="5" l="1"/>
  <c r="O63" i="5" s="1"/>
  <c r="Q63" i="5" s="1"/>
  <c r="P62" i="5"/>
  <c r="R62" i="5" s="1"/>
  <c r="P63" i="5" l="1"/>
  <c r="R63" i="5" s="1"/>
  <c r="T64" i="5"/>
  <c r="O64" i="5" s="1"/>
  <c r="Q64" i="5" s="1"/>
  <c r="P64" i="5" l="1"/>
  <c r="R64" i="5" s="1"/>
  <c r="T65" i="5"/>
  <c r="O65" i="5" s="1"/>
  <c r="Q65" i="5" s="1"/>
  <c r="T66" i="5" l="1"/>
  <c r="O66" i="5" s="1"/>
  <c r="Q66" i="5" s="1"/>
  <c r="P65" i="5"/>
  <c r="R65" i="5" s="1"/>
  <c r="P66" i="5" l="1"/>
  <c r="R66" i="5" s="1"/>
  <c r="T67" i="5"/>
  <c r="O67" i="5" s="1"/>
  <c r="Q67" i="5" s="1"/>
  <c r="P67" i="5" l="1"/>
  <c r="R67" i="5" s="1"/>
  <c r="T68" i="5"/>
  <c r="O68" i="5" s="1"/>
  <c r="Q68" i="5" s="1"/>
  <c r="T69" i="5" l="1"/>
  <c r="O69" i="5" s="1"/>
  <c r="Q69" i="5" s="1"/>
  <c r="P68" i="5"/>
  <c r="R68" i="5" s="1"/>
  <c r="P69" i="5" l="1"/>
  <c r="R69" i="5" s="1"/>
  <c r="T70" i="5"/>
  <c r="O70" i="5" s="1"/>
  <c r="Q70" i="5" s="1"/>
  <c r="P70" i="5" l="1"/>
  <c r="R70" i="5" s="1"/>
  <c r="T71" i="5"/>
  <c r="O71" i="5" s="1"/>
  <c r="Q71" i="5" s="1"/>
  <c r="T72" i="5" l="1"/>
  <c r="O72" i="5" s="1"/>
  <c r="Q72" i="5" s="1"/>
  <c r="P71" i="5"/>
  <c r="R71" i="5" s="1"/>
  <c r="P72" i="5" l="1"/>
  <c r="R72" i="5" s="1"/>
  <c r="T73" i="5"/>
  <c r="O73" i="5" s="1"/>
  <c r="Q73" i="5" s="1"/>
  <c r="P73" i="5" l="1"/>
  <c r="R73" i="5" s="1"/>
  <c r="T74" i="5"/>
  <c r="O74" i="5" s="1"/>
  <c r="Q74" i="5" s="1"/>
  <c r="T75" i="5" l="1"/>
  <c r="O75" i="5" s="1"/>
  <c r="Q75" i="5" s="1"/>
  <c r="P74" i="5"/>
  <c r="R74" i="5" s="1"/>
  <c r="P75" i="5" l="1"/>
  <c r="R75" i="5" s="1"/>
  <c r="T76" i="5"/>
  <c r="O76" i="5" s="1"/>
  <c r="Q76" i="5" s="1"/>
  <c r="P76" i="5" l="1"/>
  <c r="R76" i="5" s="1"/>
  <c r="T77" i="5"/>
  <c r="O77" i="5" s="1"/>
  <c r="Q77" i="5" s="1"/>
  <c r="T78" i="5" l="1"/>
  <c r="O78" i="5" s="1"/>
  <c r="Q78" i="5" s="1"/>
  <c r="P77" i="5"/>
  <c r="R77" i="5" s="1"/>
  <c r="P78" i="5" l="1"/>
  <c r="R78" i="5" s="1"/>
  <c r="T79" i="5"/>
  <c r="O79" i="5" s="1"/>
  <c r="Q79" i="5" s="1"/>
  <c r="P79" i="5" l="1"/>
  <c r="R79" i="5" s="1"/>
  <c r="T80" i="5"/>
  <c r="O80" i="5" s="1"/>
  <c r="Q80" i="5" s="1"/>
  <c r="T81" i="5" l="1"/>
  <c r="O81" i="5" s="1"/>
  <c r="Q81" i="5" s="1"/>
  <c r="P80" i="5"/>
  <c r="R80" i="5" s="1"/>
  <c r="P81" i="5" l="1"/>
  <c r="R81" i="5" s="1"/>
  <c r="T82" i="5"/>
  <c r="O82" i="5" s="1"/>
  <c r="Q82" i="5" s="1"/>
  <c r="P82" i="5" l="1"/>
  <c r="R82" i="5" s="1"/>
  <c r="T83" i="5"/>
  <c r="O83" i="5" s="1"/>
  <c r="Q83" i="5" s="1"/>
  <c r="T84" i="5" l="1"/>
  <c r="O84" i="5" s="1"/>
  <c r="Q84" i="5" s="1"/>
  <c r="P83" i="5"/>
  <c r="R83" i="5" s="1"/>
  <c r="P84" i="5" l="1"/>
  <c r="R84" i="5" s="1"/>
  <c r="T85" i="5"/>
  <c r="O85" i="5" s="1"/>
  <c r="Q85" i="5" s="1"/>
  <c r="P85" i="5" l="1"/>
  <c r="R85" i="5" s="1"/>
  <c r="T86" i="5"/>
  <c r="O86" i="5" s="1"/>
  <c r="Q86" i="5" s="1"/>
  <c r="T87" i="5" l="1"/>
  <c r="O87" i="5" s="1"/>
  <c r="Q87" i="5" s="1"/>
  <c r="P86" i="5"/>
  <c r="R86" i="5" s="1"/>
  <c r="P87" i="5" l="1"/>
  <c r="R87" i="5" s="1"/>
  <c r="T88" i="5"/>
  <c r="O88" i="5" s="1"/>
  <c r="Q88" i="5" s="1"/>
  <c r="P88" i="5" l="1"/>
  <c r="R88" i="5" s="1"/>
  <c r="T89" i="5"/>
  <c r="O89" i="5" s="1"/>
  <c r="Q89" i="5" s="1"/>
  <c r="T90" i="5" l="1"/>
  <c r="O90" i="5" s="1"/>
  <c r="Q90" i="5" s="1"/>
  <c r="P89" i="5"/>
  <c r="R89" i="5" s="1"/>
  <c r="P90" i="5" l="1"/>
  <c r="R90" i="5" s="1"/>
  <c r="T91" i="5"/>
  <c r="O91" i="5" s="1"/>
  <c r="Q91" i="5" s="1"/>
  <c r="P91" i="5" l="1"/>
  <c r="R91" i="5" s="1"/>
  <c r="T92" i="5"/>
  <c r="O92" i="5" s="1"/>
  <c r="Q92" i="5" s="1"/>
  <c r="T93" i="5" l="1"/>
  <c r="O93" i="5" s="1"/>
  <c r="Q93" i="5" s="1"/>
  <c r="P92" i="5"/>
  <c r="R92" i="5" s="1"/>
  <c r="P93" i="5" l="1"/>
  <c r="R93" i="5" s="1"/>
  <c r="T94" i="5"/>
  <c r="O94" i="5" s="1"/>
  <c r="Q94" i="5" s="1"/>
  <c r="P94" i="5" l="1"/>
  <c r="R94" i="5" s="1"/>
  <c r="T95" i="5"/>
  <c r="O95" i="5" s="1"/>
  <c r="Q95" i="5" s="1"/>
  <c r="T96" i="5" l="1"/>
  <c r="O96" i="5" s="1"/>
  <c r="Q96" i="5" s="1"/>
  <c r="P95" i="5"/>
  <c r="R95" i="5" s="1"/>
  <c r="P96" i="5" l="1"/>
  <c r="R96" i="5" s="1"/>
  <c r="T97" i="5"/>
  <c r="O97" i="5" s="1"/>
  <c r="Q97" i="5" s="1"/>
  <c r="P97" i="5" l="1"/>
  <c r="R97" i="5" s="1"/>
  <c r="T98" i="5"/>
  <c r="O98" i="5" s="1"/>
  <c r="Q98" i="5" s="1"/>
  <c r="T99" i="5" l="1"/>
  <c r="O99" i="5" s="1"/>
  <c r="Q99" i="5" s="1"/>
  <c r="P98" i="5"/>
  <c r="R98" i="5" s="1"/>
  <c r="P99" i="5" l="1"/>
  <c r="R99" i="5" s="1"/>
  <c r="T100" i="5"/>
  <c r="O100" i="5" s="1"/>
  <c r="Q100" i="5" s="1"/>
  <c r="P100" i="5" l="1"/>
  <c r="R100" i="5" s="1"/>
  <c r="T101" i="5"/>
  <c r="O101" i="5" s="1"/>
  <c r="Q101" i="5" s="1"/>
  <c r="T102" i="5" l="1"/>
  <c r="O102" i="5" s="1"/>
  <c r="Q102" i="5" s="1"/>
  <c r="P101" i="5"/>
  <c r="R101" i="5" s="1"/>
  <c r="P102" i="5" l="1"/>
  <c r="R102" i="5" s="1"/>
  <c r="T103" i="5"/>
  <c r="O103" i="5" s="1"/>
  <c r="Q103" i="5" s="1"/>
  <c r="P103" i="5" l="1"/>
  <c r="R103" i="5" s="1"/>
  <c r="T104" i="5"/>
  <c r="O104" i="5" s="1"/>
  <c r="Q104" i="5" s="1"/>
  <c r="P104" i="5" l="1"/>
  <c r="R104" i="5" l="1"/>
  <c r="S4" i="5" s="1"/>
  <c r="C25" i="5" s="1"/>
  <c r="L6" i="8" l="1"/>
  <c r="L8" i="8" l="1"/>
  <c r="L12" i="8" s="1"/>
  <c r="L14" i="8" l="1"/>
  <c r="L16" i="8" l="1"/>
  <c r="L18" i="8" s="1"/>
  <c r="L20" i="8" s="1"/>
  <c r="L22" i="8" s="1"/>
  <c r="L24" i="8" s="1"/>
  <c r="L26" i="8" s="1"/>
  <c r="L28" i="8" s="1"/>
  <c r="L30" i="8" s="1"/>
  <c r="L32" i="8" s="1"/>
  <c r="L34" i="8" s="1"/>
  <c r="L36" i="8" s="1"/>
  <c r="L38" i="8" s="1"/>
  <c r="L40" i="8" s="1"/>
  <c r="L42" i="8" s="1"/>
  <c r="L44" i="8" s="1"/>
  <c r="L46" i="8" s="1"/>
  <c r="L48" i="8" s="1"/>
  <c r="L50" i="8" s="1"/>
  <c r="L52" i="8" s="1"/>
  <c r="L54" i="8" s="1"/>
  <c r="L56" i="8" s="1"/>
  <c r="L58" i="8" s="1"/>
  <c r="L60" i="8" s="1"/>
  <c r="L62" i="8" s="1"/>
  <c r="L64" i="8" s="1"/>
  <c r="L66" i="8" s="1"/>
  <c r="L68" i="8" s="1"/>
  <c r="L70" i="8" s="1"/>
  <c r="L72" i="8" s="1"/>
  <c r="L74" i="8" s="1"/>
  <c r="L76" i="8" s="1"/>
  <c r="L78" i="8" s="1"/>
  <c r="L80" i="8" s="1"/>
  <c r="L82" i="8" s="1"/>
  <c r="L84" i="8" s="1"/>
  <c r="L86" i="8" s="1"/>
  <c r="L88" i="8" s="1"/>
  <c r="L90" i="8" s="1"/>
  <c r="L92" i="8" s="1"/>
  <c r="L94" i="8" s="1"/>
  <c r="L96" i="8" s="1"/>
  <c r="L98" i="8" s="1"/>
  <c r="L100" i="8" s="1"/>
  <c r="L102" i="8" s="1"/>
  <c r="L104" i="8" s="1"/>
  <c r="M4" i="8" l="1"/>
  <c r="C25" i="8" s="1"/>
</calcChain>
</file>

<file path=xl/sharedStrings.xml><?xml version="1.0" encoding="utf-8"?>
<sst xmlns="http://schemas.openxmlformats.org/spreadsheetml/2006/main" count="98" uniqueCount="54">
  <si>
    <t>a</t>
  </si>
  <si>
    <t>b</t>
  </si>
  <si>
    <t>n</t>
  </si>
  <si>
    <t>x</t>
  </si>
  <si>
    <t>f(x)</t>
  </si>
  <si>
    <t>Total Area</t>
  </si>
  <si>
    <t>Area</t>
  </si>
  <si>
    <t>Trap Buffer</t>
  </si>
  <si>
    <t>buffer</t>
  </si>
  <si>
    <t>idk use calc</t>
  </si>
  <si>
    <t>Plotting</t>
  </si>
  <si>
    <t>x buffer</t>
  </si>
  <si>
    <t>Formula:</t>
  </si>
  <si>
    <t>x^2</t>
  </si>
  <si>
    <t>Position:</t>
  </si>
  <si>
    <r>
      <rPr>
        <b/>
        <sz val="11"/>
        <color theme="1"/>
        <rFont val="Calibri"/>
        <family val="2"/>
      </rPr>
      <t>∆</t>
    </r>
    <r>
      <rPr>
        <b/>
        <sz val="11"/>
        <color theme="1"/>
        <rFont val="Calibri"/>
        <family val="2"/>
        <scheme val="minor"/>
      </rPr>
      <t>x</t>
    </r>
  </si>
  <si>
    <t>Approx Area:</t>
  </si>
  <si>
    <t>Orange Actual Curve</t>
  </si>
  <si>
    <t>Blue Rectangles</t>
  </si>
  <si>
    <t>Limiters:</t>
  </si>
  <si>
    <t>Blue Trapeziums</t>
  </si>
  <si>
    <t>Calculation</t>
  </si>
  <si>
    <t>∆x</t>
  </si>
  <si>
    <t>Actual Area:</t>
  </si>
  <si>
    <t>Determiner</t>
  </si>
  <si>
    <t>Pattern</t>
  </si>
  <si>
    <t>left</t>
  </si>
  <si>
    <t>Ignore the (extra) anomaly points/curves.</t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</si>
  <si>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</si>
  <si>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Step 1:</t>
  </si>
  <si>
    <t>Step 2:</t>
  </si>
  <si>
    <t xml:space="preserve">Step 3: </t>
  </si>
  <si>
    <t>Step 4:</t>
  </si>
  <si>
    <t>What parameters to put?</t>
  </si>
  <si>
    <t>Proceed to use the sheet.</t>
  </si>
  <si>
    <t>Approximate Area is given by value in Cell A25. A representative graph is shown on the right.</t>
  </si>
  <si>
    <t>Position</t>
  </si>
  <si>
    <t>The lower bound of the integration; Generally given by question.</t>
  </si>
  <si>
    <t>The upper bound of the integration; Generally given by question.</t>
  </si>
  <si>
    <t>How to do Numerical Integration questions?</t>
  </si>
  <si>
    <t>Ensure function is in terms of y against x.</t>
  </si>
  <si>
    <r>
      <t xml:space="preserve">Number of equal subinterval partitions; Generally given by question. </t>
    </r>
    <r>
      <rPr>
        <i/>
        <sz val="11"/>
        <color theme="1"/>
        <rFont val="Calibri"/>
        <family val="2"/>
        <scheme val="minor"/>
      </rPr>
      <t>(up to 100; even no. for Simpson's)</t>
    </r>
  </si>
  <si>
    <r>
      <t xml:space="preserve">(Reimann Sum only) To toggle which Reimann Sum to use. </t>
    </r>
    <r>
      <rPr>
        <i/>
        <sz val="11"/>
        <color theme="1"/>
        <rFont val="Calibri"/>
        <family val="2"/>
        <scheme val="minor"/>
      </rPr>
      <t>(left,mid, right)</t>
    </r>
  </si>
  <si>
    <t>Fill in yellow slot Cell C7, a function.</t>
  </si>
  <si>
    <t>Conditions:</t>
  </si>
  <si>
    <t>Fill in green slots of "a", "b", "n" values (As well as "Position" for Reimann Sums)</t>
  </si>
  <si>
    <t>This solver automatically expands the function.</t>
  </si>
  <si>
    <t>"∆x" gives the width of each subinterval partition.</t>
  </si>
  <si>
    <t xml:space="preserve">    Only "x" variable is allowed in the function.</t>
  </si>
  <si>
    <t xml:space="preserve">    Solver will fail if there exitst no "x" variable in the function.</t>
  </si>
  <si>
    <t>Note</t>
  </si>
  <si>
    <t>-</t>
  </si>
  <si>
    <t>The actual area done by integration cannot be computed by Excel. Hence, this solver avoids this computation.</t>
  </si>
  <si>
    <t xml:space="preserve">Ignore the extra points/curves on the Simpson's curve. The main curve is the representative graph.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</si>
</sst>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4" fillId="3" borderId="0" xfId="2"/>
    <xf numFmtId="0" fontId="2" fillId="2" borderId="2" xfId="1" applyBorder="1"/>
    <xf numFmtId="0" fontId="1" fillId="0" borderId="1" xfId="0" applyFont="1" applyBorder="1"/>
    <xf numFmtId="0" fontId="0" fillId="0" borderId="1" xfId="0" applyBorder="1"/>
    <xf numFmtId="0" fontId="2" fillId="2" borderId="3" xfId="1" applyBorder="1"/>
    <xf numFmtId="0" fontId="0" fillId="0" borderId="2" xfId="0" applyBorder="1"/>
    <xf numFmtId="0" fontId="2" fillId="2" borderId="2" xfId="1" applyBorder="1" applyAlignment="1">
      <alignment horizontal="center"/>
    </xf>
    <xf numFmtId="0" fontId="2" fillId="2" borderId="3" xfId="1" applyBorder="1" applyAlignment="1">
      <alignment horizontal="right"/>
    </xf>
    <xf numFmtId="0" fontId="2" fillId="2" borderId="2" xfId="1" applyBorder="1" applyAlignment="1">
      <alignment horizontal="right"/>
    </xf>
    <xf numFmtId="0" fontId="1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5" xfId="0" applyBorder="1" applyAlignment="1"/>
    <xf numFmtId="0" fontId="4" fillId="3" borderId="0" xfId="2" applyBorder="1"/>
    <xf numFmtId="0" fontId="1" fillId="0" borderId="0" xfId="0" applyFont="1" applyBorder="1"/>
    <xf numFmtId="0" fontId="8" fillId="3" borderId="0" xfId="2" applyFont="1" applyBorder="1"/>
    <xf numFmtId="0" fontId="1" fillId="0" borderId="0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8" fillId="4" borderId="13" xfId="2" applyFont="1" applyFill="1" applyBorder="1" applyAlignment="1">
      <alignment horizontal="center"/>
    </xf>
    <xf numFmtId="0" fontId="1" fillId="4" borderId="1" xfId="0" applyFont="1" applyFill="1" applyBorder="1"/>
    <xf numFmtId="0" fontId="9" fillId="5" borderId="2" xfId="1" applyFont="1" applyFill="1" applyBorder="1"/>
    <xf numFmtId="0" fontId="9" fillId="5" borderId="12" xfId="1" applyFont="1" applyFill="1" applyBorder="1"/>
    <xf numFmtId="0" fontId="1" fillId="4" borderId="1" xfId="0" applyFont="1" applyFill="1" applyBorder="1" applyAlignment="1">
      <alignment horizontal="right"/>
    </xf>
    <xf numFmtId="0" fontId="0" fillId="0" borderId="14" xfId="0" applyBorder="1"/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4" fillId="3" borderId="0" xfId="2" applyBorder="1" applyAlignment="1">
      <alignment horizontal="center"/>
    </xf>
    <xf numFmtId="0" fontId="10" fillId="0" borderId="0" xfId="0" applyFont="1"/>
    <xf numFmtId="0" fontId="0" fillId="0" borderId="0" xfId="0" applyAlignment="1">
      <alignment wrapText="1"/>
    </xf>
    <xf numFmtId="0" fontId="13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top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2F5597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'Reimann Sums'!$E$4:$E$205</c:f>
              <c:numCache>
                <c:formatCode>General</c:formatCode>
                <c:ptCount val="202"/>
                <c:pt idx="0">
                  <c:v>1</c:v>
                </c:pt>
                <c:pt idx="1">
                  <c:v>1.0149999999999999</c:v>
                </c:pt>
                <c:pt idx="2">
                  <c:v>1.0299999999999998</c:v>
                </c:pt>
                <c:pt idx="3">
                  <c:v>1.0449999999999997</c:v>
                </c:pt>
                <c:pt idx="4">
                  <c:v>1.0599999999999996</c:v>
                </c:pt>
                <c:pt idx="5">
                  <c:v>1.0749999999999995</c:v>
                </c:pt>
                <c:pt idx="6">
                  <c:v>1.0899999999999994</c:v>
                </c:pt>
                <c:pt idx="7">
                  <c:v>1.1049999999999993</c:v>
                </c:pt>
                <c:pt idx="8">
                  <c:v>1.1199999999999992</c:v>
                </c:pt>
                <c:pt idx="9">
                  <c:v>1.1349999999999991</c:v>
                </c:pt>
                <c:pt idx="10">
                  <c:v>1.149999999999999</c:v>
                </c:pt>
                <c:pt idx="11">
                  <c:v>1.1649999999999989</c:v>
                </c:pt>
                <c:pt idx="12">
                  <c:v>1.1799999999999988</c:v>
                </c:pt>
                <c:pt idx="13">
                  <c:v>1.1949999999999987</c:v>
                </c:pt>
                <c:pt idx="14">
                  <c:v>1.2099999999999986</c:v>
                </c:pt>
                <c:pt idx="15">
                  <c:v>1.2249999999999985</c:v>
                </c:pt>
                <c:pt idx="16">
                  <c:v>1.2399999999999984</c:v>
                </c:pt>
                <c:pt idx="17">
                  <c:v>1.2549999999999983</c:v>
                </c:pt>
                <c:pt idx="18">
                  <c:v>1.2699999999999982</c:v>
                </c:pt>
                <c:pt idx="19">
                  <c:v>1.2849999999999981</c:v>
                </c:pt>
                <c:pt idx="20">
                  <c:v>1.299999999999998</c:v>
                </c:pt>
                <c:pt idx="21">
                  <c:v>1.3149999999999979</c:v>
                </c:pt>
                <c:pt idx="22">
                  <c:v>1.3299999999999979</c:v>
                </c:pt>
                <c:pt idx="23">
                  <c:v>1.3449999999999978</c:v>
                </c:pt>
                <c:pt idx="24">
                  <c:v>1.3599999999999977</c:v>
                </c:pt>
                <c:pt idx="25">
                  <c:v>1.3749999999999976</c:v>
                </c:pt>
                <c:pt idx="26">
                  <c:v>1.3899999999999975</c:v>
                </c:pt>
                <c:pt idx="27">
                  <c:v>1.4049999999999974</c:v>
                </c:pt>
                <c:pt idx="28">
                  <c:v>1.4199999999999973</c:v>
                </c:pt>
                <c:pt idx="29">
                  <c:v>1.4349999999999972</c:v>
                </c:pt>
                <c:pt idx="30">
                  <c:v>1.4499999999999971</c:v>
                </c:pt>
                <c:pt idx="31">
                  <c:v>1.464999999999997</c:v>
                </c:pt>
                <c:pt idx="32">
                  <c:v>1.4799999999999969</c:v>
                </c:pt>
                <c:pt idx="33">
                  <c:v>1.4949999999999968</c:v>
                </c:pt>
                <c:pt idx="34">
                  <c:v>1.5099999999999967</c:v>
                </c:pt>
                <c:pt idx="35">
                  <c:v>1.5249999999999966</c:v>
                </c:pt>
                <c:pt idx="36">
                  <c:v>1.5399999999999965</c:v>
                </c:pt>
                <c:pt idx="37">
                  <c:v>1.5549999999999964</c:v>
                </c:pt>
                <c:pt idx="38">
                  <c:v>1.5699999999999963</c:v>
                </c:pt>
                <c:pt idx="39">
                  <c:v>1.5849999999999962</c:v>
                </c:pt>
                <c:pt idx="40">
                  <c:v>1.5999999999999961</c:v>
                </c:pt>
                <c:pt idx="41">
                  <c:v>1.614999999999996</c:v>
                </c:pt>
                <c:pt idx="42">
                  <c:v>1.6299999999999959</c:v>
                </c:pt>
                <c:pt idx="43">
                  <c:v>1.6449999999999958</c:v>
                </c:pt>
                <c:pt idx="44">
                  <c:v>1.6599999999999957</c:v>
                </c:pt>
                <c:pt idx="45">
                  <c:v>1.6749999999999956</c:v>
                </c:pt>
                <c:pt idx="46">
                  <c:v>1.6899999999999955</c:v>
                </c:pt>
                <c:pt idx="47">
                  <c:v>1.7049999999999954</c:v>
                </c:pt>
                <c:pt idx="48">
                  <c:v>1.7199999999999953</c:v>
                </c:pt>
                <c:pt idx="49">
                  <c:v>1.7349999999999952</c:v>
                </c:pt>
                <c:pt idx="50">
                  <c:v>1.7499999999999951</c:v>
                </c:pt>
                <c:pt idx="51">
                  <c:v>1.764999999999995</c:v>
                </c:pt>
                <c:pt idx="52">
                  <c:v>1.7799999999999949</c:v>
                </c:pt>
                <c:pt idx="53">
                  <c:v>1.7949999999999948</c:v>
                </c:pt>
                <c:pt idx="54">
                  <c:v>1.8099999999999947</c:v>
                </c:pt>
                <c:pt idx="55">
                  <c:v>1.8249999999999946</c:v>
                </c:pt>
                <c:pt idx="56">
                  <c:v>1.8399999999999945</c:v>
                </c:pt>
                <c:pt idx="57">
                  <c:v>1.8549999999999944</c:v>
                </c:pt>
                <c:pt idx="58">
                  <c:v>1.8699999999999943</c:v>
                </c:pt>
                <c:pt idx="59">
                  <c:v>1.8849999999999942</c:v>
                </c:pt>
                <c:pt idx="60">
                  <c:v>1.8999999999999941</c:v>
                </c:pt>
                <c:pt idx="61">
                  <c:v>1.914999999999994</c:v>
                </c:pt>
                <c:pt idx="62">
                  <c:v>1.9299999999999939</c:v>
                </c:pt>
                <c:pt idx="63">
                  <c:v>1.9449999999999938</c:v>
                </c:pt>
                <c:pt idx="64">
                  <c:v>1.9599999999999937</c:v>
                </c:pt>
                <c:pt idx="65">
                  <c:v>1.9749999999999936</c:v>
                </c:pt>
                <c:pt idx="66">
                  <c:v>1.9899999999999936</c:v>
                </c:pt>
                <c:pt idx="67">
                  <c:v>2.0049999999999937</c:v>
                </c:pt>
                <c:pt idx="68">
                  <c:v>2.0199999999999938</c:v>
                </c:pt>
                <c:pt idx="69">
                  <c:v>2.0349999999999939</c:v>
                </c:pt>
                <c:pt idx="70">
                  <c:v>2.049999999999994</c:v>
                </c:pt>
                <c:pt idx="71">
                  <c:v>2.0649999999999942</c:v>
                </c:pt>
                <c:pt idx="72">
                  <c:v>2.0799999999999943</c:v>
                </c:pt>
                <c:pt idx="73">
                  <c:v>2.0949999999999944</c:v>
                </c:pt>
                <c:pt idx="74">
                  <c:v>2.1099999999999945</c:v>
                </c:pt>
                <c:pt idx="75">
                  <c:v>2.1249999999999947</c:v>
                </c:pt>
                <c:pt idx="76">
                  <c:v>2.1399999999999948</c:v>
                </c:pt>
                <c:pt idx="77">
                  <c:v>2.1549999999999949</c:v>
                </c:pt>
                <c:pt idx="78">
                  <c:v>2.169999999999995</c:v>
                </c:pt>
                <c:pt idx="79">
                  <c:v>2.1849999999999952</c:v>
                </c:pt>
                <c:pt idx="80">
                  <c:v>2.1999999999999953</c:v>
                </c:pt>
                <c:pt idx="81">
                  <c:v>2.2149999999999954</c:v>
                </c:pt>
                <c:pt idx="82">
                  <c:v>2.2299999999999955</c:v>
                </c:pt>
                <c:pt idx="83">
                  <c:v>2.2449999999999957</c:v>
                </c:pt>
                <c:pt idx="84">
                  <c:v>2.2599999999999958</c:v>
                </c:pt>
                <c:pt idx="85">
                  <c:v>2.2749999999999959</c:v>
                </c:pt>
                <c:pt idx="86">
                  <c:v>2.289999999999996</c:v>
                </c:pt>
                <c:pt idx="87">
                  <c:v>2.3049999999999962</c:v>
                </c:pt>
                <c:pt idx="88">
                  <c:v>2.3199999999999963</c:v>
                </c:pt>
                <c:pt idx="89">
                  <c:v>2.3349999999999964</c:v>
                </c:pt>
                <c:pt idx="90">
                  <c:v>2.3499999999999965</c:v>
                </c:pt>
                <c:pt idx="91">
                  <c:v>2.3649999999999967</c:v>
                </c:pt>
                <c:pt idx="92">
                  <c:v>2.3799999999999968</c:v>
                </c:pt>
                <c:pt idx="93">
                  <c:v>2.3949999999999969</c:v>
                </c:pt>
                <c:pt idx="94">
                  <c:v>2.409999999999997</c:v>
                </c:pt>
                <c:pt idx="95">
                  <c:v>2.4249999999999972</c:v>
                </c:pt>
                <c:pt idx="96">
                  <c:v>2.4399999999999973</c:v>
                </c:pt>
                <c:pt idx="97">
                  <c:v>2.4549999999999974</c:v>
                </c:pt>
                <c:pt idx="98">
                  <c:v>2.4699999999999975</c:v>
                </c:pt>
                <c:pt idx="99">
                  <c:v>2.4849999999999977</c:v>
                </c:pt>
                <c:pt idx="100">
                  <c:v>2.4999999999999978</c:v>
                </c:pt>
                <c:pt idx="101">
                  <c:v>2.5149999999999979</c:v>
                </c:pt>
                <c:pt idx="102">
                  <c:v>2.529999999999998</c:v>
                </c:pt>
                <c:pt idx="103">
                  <c:v>2.5449999999999982</c:v>
                </c:pt>
                <c:pt idx="104">
                  <c:v>2.5599999999999983</c:v>
                </c:pt>
                <c:pt idx="105">
                  <c:v>2.5749999999999984</c:v>
                </c:pt>
                <c:pt idx="106">
                  <c:v>2.5899999999999985</c:v>
                </c:pt>
                <c:pt idx="107">
                  <c:v>2.6049999999999986</c:v>
                </c:pt>
                <c:pt idx="108">
                  <c:v>2.6199999999999988</c:v>
                </c:pt>
                <c:pt idx="109">
                  <c:v>2.6349999999999989</c:v>
                </c:pt>
                <c:pt idx="110">
                  <c:v>2.649999999999999</c:v>
                </c:pt>
                <c:pt idx="111">
                  <c:v>2.6649999999999991</c:v>
                </c:pt>
                <c:pt idx="112">
                  <c:v>2.6799999999999993</c:v>
                </c:pt>
                <c:pt idx="113">
                  <c:v>2.6949999999999994</c:v>
                </c:pt>
                <c:pt idx="114">
                  <c:v>2.7099999999999995</c:v>
                </c:pt>
                <c:pt idx="115">
                  <c:v>2.7249999999999996</c:v>
                </c:pt>
                <c:pt idx="116">
                  <c:v>2.7399999999999998</c:v>
                </c:pt>
                <c:pt idx="117">
                  <c:v>2.7549999999999999</c:v>
                </c:pt>
                <c:pt idx="118">
                  <c:v>2.77</c:v>
                </c:pt>
                <c:pt idx="119">
                  <c:v>2.7850000000000001</c:v>
                </c:pt>
                <c:pt idx="120">
                  <c:v>2.8000000000000003</c:v>
                </c:pt>
                <c:pt idx="121">
                  <c:v>2.8150000000000004</c:v>
                </c:pt>
                <c:pt idx="122">
                  <c:v>2.8300000000000005</c:v>
                </c:pt>
                <c:pt idx="123">
                  <c:v>2.8450000000000006</c:v>
                </c:pt>
                <c:pt idx="124">
                  <c:v>2.8600000000000008</c:v>
                </c:pt>
                <c:pt idx="125">
                  <c:v>2.8750000000000009</c:v>
                </c:pt>
                <c:pt idx="126">
                  <c:v>2.890000000000001</c:v>
                </c:pt>
                <c:pt idx="127">
                  <c:v>2.9050000000000011</c:v>
                </c:pt>
                <c:pt idx="128">
                  <c:v>2.9200000000000013</c:v>
                </c:pt>
                <c:pt idx="129">
                  <c:v>2.9350000000000014</c:v>
                </c:pt>
                <c:pt idx="130">
                  <c:v>2.9500000000000015</c:v>
                </c:pt>
                <c:pt idx="131">
                  <c:v>2.9650000000000016</c:v>
                </c:pt>
                <c:pt idx="132">
                  <c:v>2.9800000000000018</c:v>
                </c:pt>
                <c:pt idx="133">
                  <c:v>2.9950000000000019</c:v>
                </c:pt>
                <c:pt idx="134">
                  <c:v>3.010000000000002</c:v>
                </c:pt>
                <c:pt idx="135">
                  <c:v>3.0250000000000021</c:v>
                </c:pt>
                <c:pt idx="136">
                  <c:v>3.0400000000000023</c:v>
                </c:pt>
                <c:pt idx="137">
                  <c:v>3.0550000000000024</c:v>
                </c:pt>
                <c:pt idx="138">
                  <c:v>3.0700000000000025</c:v>
                </c:pt>
                <c:pt idx="139">
                  <c:v>3.0850000000000026</c:v>
                </c:pt>
                <c:pt idx="140">
                  <c:v>3.1000000000000028</c:v>
                </c:pt>
                <c:pt idx="141">
                  <c:v>3.1150000000000029</c:v>
                </c:pt>
                <c:pt idx="142">
                  <c:v>3.130000000000003</c:v>
                </c:pt>
                <c:pt idx="143">
                  <c:v>3.1450000000000031</c:v>
                </c:pt>
                <c:pt idx="144">
                  <c:v>3.1600000000000033</c:v>
                </c:pt>
                <c:pt idx="145">
                  <c:v>3.1750000000000034</c:v>
                </c:pt>
                <c:pt idx="146">
                  <c:v>3.1900000000000035</c:v>
                </c:pt>
                <c:pt idx="147">
                  <c:v>3.2050000000000036</c:v>
                </c:pt>
                <c:pt idx="148">
                  <c:v>3.2200000000000037</c:v>
                </c:pt>
                <c:pt idx="149">
                  <c:v>3.2350000000000039</c:v>
                </c:pt>
                <c:pt idx="150">
                  <c:v>3.250000000000004</c:v>
                </c:pt>
                <c:pt idx="151">
                  <c:v>3.2650000000000041</c:v>
                </c:pt>
                <c:pt idx="152">
                  <c:v>3.2800000000000042</c:v>
                </c:pt>
                <c:pt idx="153">
                  <c:v>3.2950000000000044</c:v>
                </c:pt>
                <c:pt idx="154">
                  <c:v>3.3100000000000045</c:v>
                </c:pt>
                <c:pt idx="155">
                  <c:v>3.3250000000000046</c:v>
                </c:pt>
                <c:pt idx="156">
                  <c:v>3.3400000000000047</c:v>
                </c:pt>
                <c:pt idx="157">
                  <c:v>3.3550000000000049</c:v>
                </c:pt>
                <c:pt idx="158">
                  <c:v>3.370000000000005</c:v>
                </c:pt>
                <c:pt idx="159">
                  <c:v>3.3850000000000051</c:v>
                </c:pt>
                <c:pt idx="160">
                  <c:v>3.4000000000000052</c:v>
                </c:pt>
                <c:pt idx="161">
                  <c:v>3.4150000000000054</c:v>
                </c:pt>
                <c:pt idx="162">
                  <c:v>3.4300000000000055</c:v>
                </c:pt>
                <c:pt idx="163">
                  <c:v>3.4450000000000056</c:v>
                </c:pt>
                <c:pt idx="164">
                  <c:v>3.4600000000000057</c:v>
                </c:pt>
                <c:pt idx="165">
                  <c:v>3.4750000000000059</c:v>
                </c:pt>
                <c:pt idx="166">
                  <c:v>3.490000000000006</c:v>
                </c:pt>
                <c:pt idx="167">
                  <c:v>3.5050000000000061</c:v>
                </c:pt>
                <c:pt idx="168">
                  <c:v>3.5200000000000062</c:v>
                </c:pt>
                <c:pt idx="169">
                  <c:v>3.5350000000000064</c:v>
                </c:pt>
                <c:pt idx="170">
                  <c:v>3.5500000000000065</c:v>
                </c:pt>
                <c:pt idx="171">
                  <c:v>3.5650000000000066</c:v>
                </c:pt>
                <c:pt idx="172">
                  <c:v>3.5800000000000067</c:v>
                </c:pt>
                <c:pt idx="173">
                  <c:v>3.5950000000000069</c:v>
                </c:pt>
                <c:pt idx="174">
                  <c:v>3.610000000000007</c:v>
                </c:pt>
                <c:pt idx="175">
                  <c:v>3.6250000000000071</c:v>
                </c:pt>
                <c:pt idx="176">
                  <c:v>3.6400000000000072</c:v>
                </c:pt>
                <c:pt idx="177">
                  <c:v>3.6550000000000074</c:v>
                </c:pt>
                <c:pt idx="178">
                  <c:v>3.6700000000000075</c:v>
                </c:pt>
                <c:pt idx="179">
                  <c:v>3.6850000000000076</c:v>
                </c:pt>
                <c:pt idx="180">
                  <c:v>3.7000000000000077</c:v>
                </c:pt>
                <c:pt idx="181">
                  <c:v>3.7150000000000079</c:v>
                </c:pt>
                <c:pt idx="182">
                  <c:v>3.730000000000008</c:v>
                </c:pt>
                <c:pt idx="183">
                  <c:v>3.7450000000000081</c:v>
                </c:pt>
                <c:pt idx="184">
                  <c:v>3.7600000000000082</c:v>
                </c:pt>
                <c:pt idx="185">
                  <c:v>3.7750000000000083</c:v>
                </c:pt>
                <c:pt idx="186">
                  <c:v>3.7900000000000085</c:v>
                </c:pt>
                <c:pt idx="187">
                  <c:v>3.8050000000000086</c:v>
                </c:pt>
                <c:pt idx="188">
                  <c:v>3.8200000000000087</c:v>
                </c:pt>
                <c:pt idx="189">
                  <c:v>3.8350000000000088</c:v>
                </c:pt>
                <c:pt idx="190">
                  <c:v>3.850000000000009</c:v>
                </c:pt>
                <c:pt idx="191">
                  <c:v>3.8650000000000091</c:v>
                </c:pt>
                <c:pt idx="192">
                  <c:v>3.8800000000000092</c:v>
                </c:pt>
                <c:pt idx="193">
                  <c:v>3.8950000000000093</c:v>
                </c:pt>
                <c:pt idx="194">
                  <c:v>3.9100000000000095</c:v>
                </c:pt>
                <c:pt idx="195">
                  <c:v>3.9250000000000096</c:v>
                </c:pt>
                <c:pt idx="196">
                  <c:v>3.9400000000000097</c:v>
                </c:pt>
                <c:pt idx="197">
                  <c:v>3.9550000000000098</c:v>
                </c:pt>
                <c:pt idx="198">
                  <c:v>3.97000000000001</c:v>
                </c:pt>
                <c:pt idx="199">
                  <c:v>3.9850000000000101</c:v>
                </c:pt>
                <c:pt idx="200">
                  <c:v>4.0000000000000098</c:v>
                </c:pt>
              </c:numCache>
            </c:numRef>
          </c:cat>
          <c:val>
            <c:numRef>
              <c:f>'Reimann Sums'!$H$4:$H$204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1.890625</c:v>
                </c:pt>
                <c:pt idx="26">
                  <c:v>1.890625</c:v>
                </c:pt>
                <c:pt idx="27">
                  <c:v>1.890625</c:v>
                </c:pt>
                <c:pt idx="28">
                  <c:v>1.890625</c:v>
                </c:pt>
                <c:pt idx="29">
                  <c:v>1.890625</c:v>
                </c:pt>
                <c:pt idx="30">
                  <c:v>1.890625</c:v>
                </c:pt>
                <c:pt idx="31">
                  <c:v>1.890625</c:v>
                </c:pt>
                <c:pt idx="32">
                  <c:v>1.890625</c:v>
                </c:pt>
                <c:pt idx="33">
                  <c:v>1.890625</c:v>
                </c:pt>
                <c:pt idx="34">
                  <c:v>1.890625</c:v>
                </c:pt>
                <c:pt idx="35">
                  <c:v>1.890625</c:v>
                </c:pt>
                <c:pt idx="36">
                  <c:v>1.890625</c:v>
                </c:pt>
                <c:pt idx="37">
                  <c:v>1.890625</c:v>
                </c:pt>
                <c:pt idx="38">
                  <c:v>1.890625</c:v>
                </c:pt>
                <c:pt idx="39">
                  <c:v>1.890625</c:v>
                </c:pt>
                <c:pt idx="40">
                  <c:v>1.890625</c:v>
                </c:pt>
                <c:pt idx="41">
                  <c:v>1.890625</c:v>
                </c:pt>
                <c:pt idx="42">
                  <c:v>1.890625</c:v>
                </c:pt>
                <c:pt idx="43">
                  <c:v>1.890625</c:v>
                </c:pt>
                <c:pt idx="44">
                  <c:v>1.890625</c:v>
                </c:pt>
                <c:pt idx="45">
                  <c:v>1.890625</c:v>
                </c:pt>
                <c:pt idx="46">
                  <c:v>1.890625</c:v>
                </c:pt>
                <c:pt idx="47">
                  <c:v>1.890625</c:v>
                </c:pt>
                <c:pt idx="48">
                  <c:v>1.890625</c:v>
                </c:pt>
                <c:pt idx="49">
                  <c:v>1.890625</c:v>
                </c:pt>
                <c:pt idx="50">
                  <c:v>3.0625</c:v>
                </c:pt>
                <c:pt idx="51">
                  <c:v>3.0625</c:v>
                </c:pt>
                <c:pt idx="52">
                  <c:v>3.0625</c:v>
                </c:pt>
                <c:pt idx="53">
                  <c:v>3.0625</c:v>
                </c:pt>
                <c:pt idx="54">
                  <c:v>3.0625</c:v>
                </c:pt>
                <c:pt idx="55">
                  <c:v>3.0625</c:v>
                </c:pt>
                <c:pt idx="56">
                  <c:v>3.0625</c:v>
                </c:pt>
                <c:pt idx="57">
                  <c:v>3.0625</c:v>
                </c:pt>
                <c:pt idx="58">
                  <c:v>3.0625</c:v>
                </c:pt>
                <c:pt idx="59">
                  <c:v>3.0625</c:v>
                </c:pt>
                <c:pt idx="60">
                  <c:v>3.0625</c:v>
                </c:pt>
                <c:pt idx="61">
                  <c:v>3.0625</c:v>
                </c:pt>
                <c:pt idx="62">
                  <c:v>3.0625</c:v>
                </c:pt>
                <c:pt idx="63">
                  <c:v>3.0625</c:v>
                </c:pt>
                <c:pt idx="64">
                  <c:v>3.0625</c:v>
                </c:pt>
                <c:pt idx="65">
                  <c:v>3.0625</c:v>
                </c:pt>
                <c:pt idx="66">
                  <c:v>3.0625</c:v>
                </c:pt>
                <c:pt idx="67">
                  <c:v>3.0625</c:v>
                </c:pt>
                <c:pt idx="68">
                  <c:v>3.0625</c:v>
                </c:pt>
                <c:pt idx="69">
                  <c:v>3.0625</c:v>
                </c:pt>
                <c:pt idx="70">
                  <c:v>3.0625</c:v>
                </c:pt>
                <c:pt idx="71">
                  <c:v>3.0625</c:v>
                </c:pt>
                <c:pt idx="72">
                  <c:v>3.0625</c:v>
                </c:pt>
                <c:pt idx="73">
                  <c:v>3.0625</c:v>
                </c:pt>
                <c:pt idx="74">
                  <c:v>3.0625</c:v>
                </c:pt>
                <c:pt idx="75">
                  <c:v>3.0625</c:v>
                </c:pt>
                <c:pt idx="76">
                  <c:v>4.515625</c:v>
                </c:pt>
                <c:pt idx="77">
                  <c:v>4.515625</c:v>
                </c:pt>
                <c:pt idx="78">
                  <c:v>4.515625</c:v>
                </c:pt>
                <c:pt idx="79">
                  <c:v>4.515625</c:v>
                </c:pt>
                <c:pt idx="80">
                  <c:v>4.515625</c:v>
                </c:pt>
                <c:pt idx="81">
                  <c:v>4.515625</c:v>
                </c:pt>
                <c:pt idx="82">
                  <c:v>4.515625</c:v>
                </c:pt>
                <c:pt idx="83">
                  <c:v>4.515625</c:v>
                </c:pt>
                <c:pt idx="84">
                  <c:v>4.515625</c:v>
                </c:pt>
                <c:pt idx="85">
                  <c:v>4.515625</c:v>
                </c:pt>
                <c:pt idx="86">
                  <c:v>4.515625</c:v>
                </c:pt>
                <c:pt idx="87">
                  <c:v>4.515625</c:v>
                </c:pt>
                <c:pt idx="88">
                  <c:v>4.515625</c:v>
                </c:pt>
                <c:pt idx="89">
                  <c:v>4.515625</c:v>
                </c:pt>
                <c:pt idx="90">
                  <c:v>4.515625</c:v>
                </c:pt>
                <c:pt idx="91">
                  <c:v>4.515625</c:v>
                </c:pt>
                <c:pt idx="92">
                  <c:v>4.515625</c:v>
                </c:pt>
                <c:pt idx="93">
                  <c:v>4.515625</c:v>
                </c:pt>
                <c:pt idx="94">
                  <c:v>4.515625</c:v>
                </c:pt>
                <c:pt idx="95">
                  <c:v>4.515625</c:v>
                </c:pt>
                <c:pt idx="96">
                  <c:v>4.515625</c:v>
                </c:pt>
                <c:pt idx="97">
                  <c:v>4.515625</c:v>
                </c:pt>
                <c:pt idx="98">
                  <c:v>4.515625</c:v>
                </c:pt>
                <c:pt idx="99">
                  <c:v>4.515625</c:v>
                </c:pt>
                <c:pt idx="100">
                  <c:v>6.25</c:v>
                </c:pt>
                <c:pt idx="101">
                  <c:v>6.25</c:v>
                </c:pt>
                <c:pt idx="102">
                  <c:v>6.25</c:v>
                </c:pt>
                <c:pt idx="103">
                  <c:v>6.25</c:v>
                </c:pt>
                <c:pt idx="104">
                  <c:v>6.25</c:v>
                </c:pt>
                <c:pt idx="105">
                  <c:v>6.25</c:v>
                </c:pt>
                <c:pt idx="106">
                  <c:v>6.25</c:v>
                </c:pt>
                <c:pt idx="107">
                  <c:v>6.25</c:v>
                </c:pt>
                <c:pt idx="108">
                  <c:v>6.25</c:v>
                </c:pt>
                <c:pt idx="109">
                  <c:v>6.25</c:v>
                </c:pt>
                <c:pt idx="110">
                  <c:v>6.25</c:v>
                </c:pt>
                <c:pt idx="111">
                  <c:v>6.25</c:v>
                </c:pt>
                <c:pt idx="112">
                  <c:v>6.25</c:v>
                </c:pt>
                <c:pt idx="113">
                  <c:v>6.25</c:v>
                </c:pt>
                <c:pt idx="114">
                  <c:v>6.25</c:v>
                </c:pt>
                <c:pt idx="115">
                  <c:v>6.25</c:v>
                </c:pt>
                <c:pt idx="116">
                  <c:v>6.25</c:v>
                </c:pt>
                <c:pt idx="117">
                  <c:v>6.25</c:v>
                </c:pt>
                <c:pt idx="118">
                  <c:v>6.25</c:v>
                </c:pt>
                <c:pt idx="119">
                  <c:v>6.25</c:v>
                </c:pt>
                <c:pt idx="120">
                  <c:v>6.25</c:v>
                </c:pt>
                <c:pt idx="121">
                  <c:v>6.25</c:v>
                </c:pt>
                <c:pt idx="122">
                  <c:v>6.25</c:v>
                </c:pt>
                <c:pt idx="123">
                  <c:v>6.25</c:v>
                </c:pt>
                <c:pt idx="124">
                  <c:v>6.25</c:v>
                </c:pt>
                <c:pt idx="125">
                  <c:v>8.265625</c:v>
                </c:pt>
                <c:pt idx="126">
                  <c:v>8.265625</c:v>
                </c:pt>
                <c:pt idx="127">
                  <c:v>8.265625</c:v>
                </c:pt>
                <c:pt idx="128">
                  <c:v>8.265625</c:v>
                </c:pt>
                <c:pt idx="129">
                  <c:v>8.265625</c:v>
                </c:pt>
                <c:pt idx="130">
                  <c:v>8.265625</c:v>
                </c:pt>
                <c:pt idx="131">
                  <c:v>8.265625</c:v>
                </c:pt>
                <c:pt idx="132">
                  <c:v>8.265625</c:v>
                </c:pt>
                <c:pt idx="133">
                  <c:v>8.265625</c:v>
                </c:pt>
                <c:pt idx="134">
                  <c:v>8.265625</c:v>
                </c:pt>
                <c:pt idx="135">
                  <c:v>8.265625</c:v>
                </c:pt>
                <c:pt idx="136">
                  <c:v>8.265625</c:v>
                </c:pt>
                <c:pt idx="137">
                  <c:v>8.265625</c:v>
                </c:pt>
                <c:pt idx="138">
                  <c:v>8.265625</c:v>
                </c:pt>
                <c:pt idx="139">
                  <c:v>8.265625</c:v>
                </c:pt>
                <c:pt idx="140">
                  <c:v>8.265625</c:v>
                </c:pt>
                <c:pt idx="141">
                  <c:v>8.265625</c:v>
                </c:pt>
                <c:pt idx="142">
                  <c:v>8.265625</c:v>
                </c:pt>
                <c:pt idx="143">
                  <c:v>8.265625</c:v>
                </c:pt>
                <c:pt idx="144">
                  <c:v>8.265625</c:v>
                </c:pt>
                <c:pt idx="145">
                  <c:v>8.265625</c:v>
                </c:pt>
                <c:pt idx="146">
                  <c:v>8.265625</c:v>
                </c:pt>
                <c:pt idx="147">
                  <c:v>8.265625</c:v>
                </c:pt>
                <c:pt idx="148">
                  <c:v>8.265625</c:v>
                </c:pt>
                <c:pt idx="149">
                  <c:v>8.265625</c:v>
                </c:pt>
                <c:pt idx="150">
                  <c:v>10.5625</c:v>
                </c:pt>
                <c:pt idx="151">
                  <c:v>10.5625</c:v>
                </c:pt>
                <c:pt idx="152">
                  <c:v>10.5625</c:v>
                </c:pt>
                <c:pt idx="153">
                  <c:v>10.5625</c:v>
                </c:pt>
                <c:pt idx="154">
                  <c:v>10.5625</c:v>
                </c:pt>
                <c:pt idx="155">
                  <c:v>10.5625</c:v>
                </c:pt>
                <c:pt idx="156">
                  <c:v>10.5625</c:v>
                </c:pt>
                <c:pt idx="157">
                  <c:v>10.5625</c:v>
                </c:pt>
                <c:pt idx="158">
                  <c:v>10.5625</c:v>
                </c:pt>
                <c:pt idx="159">
                  <c:v>10.5625</c:v>
                </c:pt>
                <c:pt idx="160">
                  <c:v>10.5625</c:v>
                </c:pt>
                <c:pt idx="161">
                  <c:v>10.5625</c:v>
                </c:pt>
                <c:pt idx="162">
                  <c:v>10.5625</c:v>
                </c:pt>
                <c:pt idx="163">
                  <c:v>10.5625</c:v>
                </c:pt>
                <c:pt idx="164">
                  <c:v>10.5625</c:v>
                </c:pt>
                <c:pt idx="165">
                  <c:v>10.5625</c:v>
                </c:pt>
                <c:pt idx="166">
                  <c:v>10.5625</c:v>
                </c:pt>
                <c:pt idx="167">
                  <c:v>10.5625</c:v>
                </c:pt>
                <c:pt idx="168">
                  <c:v>10.5625</c:v>
                </c:pt>
                <c:pt idx="169">
                  <c:v>10.5625</c:v>
                </c:pt>
                <c:pt idx="170">
                  <c:v>10.5625</c:v>
                </c:pt>
                <c:pt idx="171">
                  <c:v>10.5625</c:v>
                </c:pt>
                <c:pt idx="172">
                  <c:v>10.5625</c:v>
                </c:pt>
                <c:pt idx="173">
                  <c:v>10.5625</c:v>
                </c:pt>
                <c:pt idx="174">
                  <c:v>10.5625</c:v>
                </c:pt>
                <c:pt idx="175">
                  <c:v>13.140625</c:v>
                </c:pt>
                <c:pt idx="176">
                  <c:v>13.140625</c:v>
                </c:pt>
                <c:pt idx="177">
                  <c:v>13.140625</c:v>
                </c:pt>
                <c:pt idx="178">
                  <c:v>13.140625</c:v>
                </c:pt>
                <c:pt idx="179">
                  <c:v>13.140625</c:v>
                </c:pt>
                <c:pt idx="180">
                  <c:v>13.140625</c:v>
                </c:pt>
                <c:pt idx="181">
                  <c:v>13.140625</c:v>
                </c:pt>
                <c:pt idx="182">
                  <c:v>13.140625</c:v>
                </c:pt>
                <c:pt idx="183">
                  <c:v>13.140625</c:v>
                </c:pt>
                <c:pt idx="184">
                  <c:v>13.140625</c:v>
                </c:pt>
                <c:pt idx="185">
                  <c:v>13.140625</c:v>
                </c:pt>
                <c:pt idx="186">
                  <c:v>13.140625</c:v>
                </c:pt>
                <c:pt idx="187">
                  <c:v>13.140625</c:v>
                </c:pt>
                <c:pt idx="188">
                  <c:v>13.140625</c:v>
                </c:pt>
                <c:pt idx="189">
                  <c:v>13.140625</c:v>
                </c:pt>
                <c:pt idx="190">
                  <c:v>13.140625</c:v>
                </c:pt>
                <c:pt idx="191">
                  <c:v>13.140625</c:v>
                </c:pt>
                <c:pt idx="192">
                  <c:v>13.140625</c:v>
                </c:pt>
                <c:pt idx="193">
                  <c:v>13.140625</c:v>
                </c:pt>
                <c:pt idx="194">
                  <c:v>13.140625</c:v>
                </c:pt>
                <c:pt idx="195">
                  <c:v>13.140625</c:v>
                </c:pt>
                <c:pt idx="196">
                  <c:v>13.140625</c:v>
                </c:pt>
                <c:pt idx="197">
                  <c:v>13.140625</c:v>
                </c:pt>
                <c:pt idx="198">
                  <c:v>13.140625</c:v>
                </c:pt>
                <c:pt idx="199">
                  <c:v>13.140625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5-42EE-A72F-4CB0AA125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32296552"/>
        <c:axId val="632292616"/>
      </c:barChart>
      <c:lineChart>
        <c:grouping val="standard"/>
        <c:varyColors val="0"/>
        <c:ser>
          <c:idx val="1"/>
          <c:order val="1"/>
          <c:tx>
            <c:strRef>
              <c:f>'Reimann Sums'!$H$4:$H$204</c:f>
              <c:strCach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1.890625</c:v>
                </c:pt>
                <c:pt idx="26">
                  <c:v>1.890625</c:v>
                </c:pt>
                <c:pt idx="27">
                  <c:v>1.890625</c:v>
                </c:pt>
                <c:pt idx="28">
                  <c:v>1.890625</c:v>
                </c:pt>
                <c:pt idx="29">
                  <c:v>1.890625</c:v>
                </c:pt>
                <c:pt idx="30">
                  <c:v>1.890625</c:v>
                </c:pt>
                <c:pt idx="31">
                  <c:v>1.890625</c:v>
                </c:pt>
                <c:pt idx="32">
                  <c:v>1.890625</c:v>
                </c:pt>
                <c:pt idx="33">
                  <c:v>1.890625</c:v>
                </c:pt>
                <c:pt idx="34">
                  <c:v>1.890625</c:v>
                </c:pt>
                <c:pt idx="35">
                  <c:v>1.890625</c:v>
                </c:pt>
                <c:pt idx="36">
                  <c:v>1.890625</c:v>
                </c:pt>
                <c:pt idx="37">
                  <c:v>1.890625</c:v>
                </c:pt>
                <c:pt idx="38">
                  <c:v>1.890625</c:v>
                </c:pt>
                <c:pt idx="39">
                  <c:v>1.890625</c:v>
                </c:pt>
                <c:pt idx="40">
                  <c:v>1.890625</c:v>
                </c:pt>
                <c:pt idx="41">
                  <c:v>1.890625</c:v>
                </c:pt>
                <c:pt idx="42">
                  <c:v>1.890625</c:v>
                </c:pt>
                <c:pt idx="43">
                  <c:v>1.890625</c:v>
                </c:pt>
                <c:pt idx="44">
                  <c:v>1.890625</c:v>
                </c:pt>
                <c:pt idx="45">
                  <c:v>1.890625</c:v>
                </c:pt>
                <c:pt idx="46">
                  <c:v>1.890625</c:v>
                </c:pt>
                <c:pt idx="47">
                  <c:v>1.890625</c:v>
                </c:pt>
                <c:pt idx="48">
                  <c:v>1.890625</c:v>
                </c:pt>
                <c:pt idx="49">
                  <c:v>1.890625</c:v>
                </c:pt>
                <c:pt idx="50">
                  <c:v>3.0625</c:v>
                </c:pt>
                <c:pt idx="51">
                  <c:v>3.0625</c:v>
                </c:pt>
                <c:pt idx="52">
                  <c:v>3.0625</c:v>
                </c:pt>
                <c:pt idx="53">
                  <c:v>3.0625</c:v>
                </c:pt>
                <c:pt idx="54">
                  <c:v>3.0625</c:v>
                </c:pt>
                <c:pt idx="55">
                  <c:v>3.0625</c:v>
                </c:pt>
                <c:pt idx="56">
                  <c:v>3.0625</c:v>
                </c:pt>
                <c:pt idx="57">
                  <c:v>3.0625</c:v>
                </c:pt>
                <c:pt idx="58">
                  <c:v>3.0625</c:v>
                </c:pt>
                <c:pt idx="59">
                  <c:v>3.0625</c:v>
                </c:pt>
                <c:pt idx="60">
                  <c:v>3.0625</c:v>
                </c:pt>
                <c:pt idx="61">
                  <c:v>3.0625</c:v>
                </c:pt>
                <c:pt idx="62">
                  <c:v>3.0625</c:v>
                </c:pt>
                <c:pt idx="63">
                  <c:v>3.0625</c:v>
                </c:pt>
                <c:pt idx="64">
                  <c:v>3.0625</c:v>
                </c:pt>
                <c:pt idx="65">
                  <c:v>3.0625</c:v>
                </c:pt>
                <c:pt idx="66">
                  <c:v>3.0625</c:v>
                </c:pt>
                <c:pt idx="67">
                  <c:v>3.0625</c:v>
                </c:pt>
                <c:pt idx="68">
                  <c:v>3.0625</c:v>
                </c:pt>
                <c:pt idx="69">
                  <c:v>3.0625</c:v>
                </c:pt>
                <c:pt idx="70">
                  <c:v>3.0625</c:v>
                </c:pt>
                <c:pt idx="71">
                  <c:v>3.0625</c:v>
                </c:pt>
                <c:pt idx="72">
                  <c:v>3.0625</c:v>
                </c:pt>
                <c:pt idx="73">
                  <c:v>3.0625</c:v>
                </c:pt>
                <c:pt idx="74">
                  <c:v>3.0625</c:v>
                </c:pt>
                <c:pt idx="75">
                  <c:v>3.0625</c:v>
                </c:pt>
                <c:pt idx="76">
                  <c:v>4.515625</c:v>
                </c:pt>
                <c:pt idx="77">
                  <c:v>4.515625</c:v>
                </c:pt>
                <c:pt idx="78">
                  <c:v>4.515625</c:v>
                </c:pt>
                <c:pt idx="79">
                  <c:v>4.515625</c:v>
                </c:pt>
                <c:pt idx="80">
                  <c:v>4.515625</c:v>
                </c:pt>
                <c:pt idx="81">
                  <c:v>4.515625</c:v>
                </c:pt>
                <c:pt idx="82">
                  <c:v>4.515625</c:v>
                </c:pt>
                <c:pt idx="83">
                  <c:v>4.515625</c:v>
                </c:pt>
                <c:pt idx="84">
                  <c:v>4.515625</c:v>
                </c:pt>
                <c:pt idx="85">
                  <c:v>4.515625</c:v>
                </c:pt>
                <c:pt idx="86">
                  <c:v>4.515625</c:v>
                </c:pt>
                <c:pt idx="87">
                  <c:v>4.515625</c:v>
                </c:pt>
                <c:pt idx="88">
                  <c:v>4.515625</c:v>
                </c:pt>
                <c:pt idx="89">
                  <c:v>4.515625</c:v>
                </c:pt>
                <c:pt idx="90">
                  <c:v>4.515625</c:v>
                </c:pt>
                <c:pt idx="91">
                  <c:v>4.515625</c:v>
                </c:pt>
                <c:pt idx="92">
                  <c:v>4.515625</c:v>
                </c:pt>
                <c:pt idx="93">
                  <c:v>4.515625</c:v>
                </c:pt>
                <c:pt idx="94">
                  <c:v>4.515625</c:v>
                </c:pt>
                <c:pt idx="95">
                  <c:v>4.515625</c:v>
                </c:pt>
                <c:pt idx="96">
                  <c:v>4.515625</c:v>
                </c:pt>
                <c:pt idx="97">
                  <c:v>4.515625</c:v>
                </c:pt>
                <c:pt idx="98">
                  <c:v>4.515625</c:v>
                </c:pt>
                <c:pt idx="99">
                  <c:v>4.515625</c:v>
                </c:pt>
                <c:pt idx="100">
                  <c:v>6.25</c:v>
                </c:pt>
                <c:pt idx="101">
                  <c:v>6.25</c:v>
                </c:pt>
                <c:pt idx="102">
                  <c:v>6.25</c:v>
                </c:pt>
                <c:pt idx="103">
                  <c:v>6.25</c:v>
                </c:pt>
                <c:pt idx="104">
                  <c:v>6.25</c:v>
                </c:pt>
                <c:pt idx="105">
                  <c:v>6.25</c:v>
                </c:pt>
                <c:pt idx="106">
                  <c:v>6.25</c:v>
                </c:pt>
                <c:pt idx="107">
                  <c:v>6.25</c:v>
                </c:pt>
                <c:pt idx="108">
                  <c:v>6.25</c:v>
                </c:pt>
                <c:pt idx="109">
                  <c:v>6.25</c:v>
                </c:pt>
                <c:pt idx="110">
                  <c:v>6.25</c:v>
                </c:pt>
                <c:pt idx="111">
                  <c:v>6.25</c:v>
                </c:pt>
                <c:pt idx="112">
                  <c:v>6.25</c:v>
                </c:pt>
                <c:pt idx="113">
                  <c:v>6.25</c:v>
                </c:pt>
                <c:pt idx="114">
                  <c:v>6.25</c:v>
                </c:pt>
                <c:pt idx="115">
                  <c:v>6.25</c:v>
                </c:pt>
                <c:pt idx="116">
                  <c:v>6.25</c:v>
                </c:pt>
                <c:pt idx="117">
                  <c:v>6.25</c:v>
                </c:pt>
                <c:pt idx="118">
                  <c:v>6.25</c:v>
                </c:pt>
                <c:pt idx="119">
                  <c:v>6.25</c:v>
                </c:pt>
                <c:pt idx="120">
                  <c:v>6.25</c:v>
                </c:pt>
                <c:pt idx="121">
                  <c:v>6.25</c:v>
                </c:pt>
                <c:pt idx="122">
                  <c:v>6.25</c:v>
                </c:pt>
                <c:pt idx="123">
                  <c:v>6.25</c:v>
                </c:pt>
                <c:pt idx="124">
                  <c:v>6.25</c:v>
                </c:pt>
                <c:pt idx="125">
                  <c:v>8.265625</c:v>
                </c:pt>
                <c:pt idx="126">
                  <c:v>8.265625</c:v>
                </c:pt>
                <c:pt idx="127">
                  <c:v>8.265625</c:v>
                </c:pt>
                <c:pt idx="128">
                  <c:v>8.265625</c:v>
                </c:pt>
                <c:pt idx="129">
                  <c:v>8.265625</c:v>
                </c:pt>
                <c:pt idx="130">
                  <c:v>8.265625</c:v>
                </c:pt>
                <c:pt idx="131">
                  <c:v>8.265625</c:v>
                </c:pt>
                <c:pt idx="132">
                  <c:v>8.265625</c:v>
                </c:pt>
                <c:pt idx="133">
                  <c:v>8.265625</c:v>
                </c:pt>
                <c:pt idx="134">
                  <c:v>8.265625</c:v>
                </c:pt>
                <c:pt idx="135">
                  <c:v>8.265625</c:v>
                </c:pt>
                <c:pt idx="136">
                  <c:v>8.265625</c:v>
                </c:pt>
                <c:pt idx="137">
                  <c:v>8.265625</c:v>
                </c:pt>
                <c:pt idx="138">
                  <c:v>8.265625</c:v>
                </c:pt>
                <c:pt idx="139">
                  <c:v>8.265625</c:v>
                </c:pt>
                <c:pt idx="140">
                  <c:v>8.265625</c:v>
                </c:pt>
                <c:pt idx="141">
                  <c:v>8.265625</c:v>
                </c:pt>
                <c:pt idx="142">
                  <c:v>8.265625</c:v>
                </c:pt>
                <c:pt idx="143">
                  <c:v>8.265625</c:v>
                </c:pt>
                <c:pt idx="144">
                  <c:v>8.265625</c:v>
                </c:pt>
                <c:pt idx="145">
                  <c:v>8.265625</c:v>
                </c:pt>
                <c:pt idx="146">
                  <c:v>8.265625</c:v>
                </c:pt>
                <c:pt idx="147">
                  <c:v>8.265625</c:v>
                </c:pt>
                <c:pt idx="148">
                  <c:v>8.265625</c:v>
                </c:pt>
                <c:pt idx="149">
                  <c:v>8.265625</c:v>
                </c:pt>
                <c:pt idx="150">
                  <c:v>10.5625</c:v>
                </c:pt>
                <c:pt idx="151">
                  <c:v>10.5625</c:v>
                </c:pt>
                <c:pt idx="152">
                  <c:v>10.5625</c:v>
                </c:pt>
                <c:pt idx="153">
                  <c:v>10.5625</c:v>
                </c:pt>
                <c:pt idx="154">
                  <c:v>10.5625</c:v>
                </c:pt>
                <c:pt idx="155">
                  <c:v>10.5625</c:v>
                </c:pt>
                <c:pt idx="156">
                  <c:v>10.5625</c:v>
                </c:pt>
                <c:pt idx="157">
                  <c:v>10.5625</c:v>
                </c:pt>
                <c:pt idx="158">
                  <c:v>10.5625</c:v>
                </c:pt>
                <c:pt idx="159">
                  <c:v>10.5625</c:v>
                </c:pt>
                <c:pt idx="160">
                  <c:v>10.5625</c:v>
                </c:pt>
                <c:pt idx="161">
                  <c:v>10.5625</c:v>
                </c:pt>
                <c:pt idx="162">
                  <c:v>10.5625</c:v>
                </c:pt>
                <c:pt idx="163">
                  <c:v>10.5625</c:v>
                </c:pt>
                <c:pt idx="164">
                  <c:v>10.5625</c:v>
                </c:pt>
                <c:pt idx="165">
                  <c:v>10.5625</c:v>
                </c:pt>
                <c:pt idx="166">
                  <c:v>10.5625</c:v>
                </c:pt>
                <c:pt idx="167">
                  <c:v>10.5625</c:v>
                </c:pt>
                <c:pt idx="168">
                  <c:v>10.5625</c:v>
                </c:pt>
                <c:pt idx="169">
                  <c:v>10.5625</c:v>
                </c:pt>
                <c:pt idx="170">
                  <c:v>10.5625</c:v>
                </c:pt>
                <c:pt idx="171">
                  <c:v>10.5625</c:v>
                </c:pt>
                <c:pt idx="172">
                  <c:v>10.5625</c:v>
                </c:pt>
                <c:pt idx="173">
                  <c:v>10.5625</c:v>
                </c:pt>
                <c:pt idx="174">
                  <c:v>10.5625</c:v>
                </c:pt>
                <c:pt idx="175">
                  <c:v>13.140625</c:v>
                </c:pt>
                <c:pt idx="176">
                  <c:v>13.140625</c:v>
                </c:pt>
                <c:pt idx="177">
                  <c:v>13.140625</c:v>
                </c:pt>
                <c:pt idx="178">
                  <c:v>13.140625</c:v>
                </c:pt>
                <c:pt idx="179">
                  <c:v>13.140625</c:v>
                </c:pt>
                <c:pt idx="180">
                  <c:v>13.140625</c:v>
                </c:pt>
                <c:pt idx="181">
                  <c:v>13.140625</c:v>
                </c:pt>
                <c:pt idx="182">
                  <c:v>13.140625</c:v>
                </c:pt>
                <c:pt idx="183">
                  <c:v>13.140625</c:v>
                </c:pt>
                <c:pt idx="184">
                  <c:v>13.140625</c:v>
                </c:pt>
                <c:pt idx="185">
                  <c:v>13.140625</c:v>
                </c:pt>
                <c:pt idx="186">
                  <c:v>13.140625</c:v>
                </c:pt>
                <c:pt idx="187">
                  <c:v>13.140625</c:v>
                </c:pt>
                <c:pt idx="188">
                  <c:v>13.140625</c:v>
                </c:pt>
                <c:pt idx="189">
                  <c:v>13.140625</c:v>
                </c:pt>
                <c:pt idx="190">
                  <c:v>13.140625</c:v>
                </c:pt>
                <c:pt idx="191">
                  <c:v>13.140625</c:v>
                </c:pt>
                <c:pt idx="192">
                  <c:v>13.140625</c:v>
                </c:pt>
                <c:pt idx="193">
                  <c:v>13.140625</c:v>
                </c:pt>
                <c:pt idx="194">
                  <c:v>13.140625</c:v>
                </c:pt>
                <c:pt idx="195">
                  <c:v>13.140625</c:v>
                </c:pt>
                <c:pt idx="196">
                  <c:v>13.140625</c:v>
                </c:pt>
                <c:pt idx="197">
                  <c:v>13.140625</c:v>
                </c:pt>
                <c:pt idx="198">
                  <c:v>13.140625</c:v>
                </c:pt>
                <c:pt idx="199">
                  <c:v>13.140625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'Reimann Sums'!$F$4:$F$204</c:f>
              <c:numCache>
                <c:formatCode>General</c:formatCode>
                <c:ptCount val="201"/>
                <c:pt idx="0">
                  <c:v>1</c:v>
                </c:pt>
                <c:pt idx="1">
                  <c:v>1.0302249999999997</c:v>
                </c:pt>
                <c:pt idx="2">
                  <c:v>1.0608999999999995</c:v>
                </c:pt>
                <c:pt idx="3">
                  <c:v>1.0920249999999994</c:v>
                </c:pt>
                <c:pt idx="4">
                  <c:v>1.1235999999999993</c:v>
                </c:pt>
                <c:pt idx="5">
                  <c:v>1.155624999999999</c:v>
                </c:pt>
                <c:pt idx="6">
                  <c:v>1.1880999999999988</c:v>
                </c:pt>
                <c:pt idx="7">
                  <c:v>1.2210249999999985</c:v>
                </c:pt>
                <c:pt idx="8">
                  <c:v>1.2543999999999982</c:v>
                </c:pt>
                <c:pt idx="9">
                  <c:v>1.288224999999998</c:v>
                </c:pt>
                <c:pt idx="10">
                  <c:v>1.3224999999999978</c:v>
                </c:pt>
                <c:pt idx="11">
                  <c:v>1.3572249999999975</c:v>
                </c:pt>
                <c:pt idx="12">
                  <c:v>1.3923999999999972</c:v>
                </c:pt>
                <c:pt idx="13">
                  <c:v>1.428024999999997</c:v>
                </c:pt>
                <c:pt idx="14">
                  <c:v>1.4640999999999966</c:v>
                </c:pt>
                <c:pt idx="15">
                  <c:v>1.5006249999999963</c:v>
                </c:pt>
                <c:pt idx="16">
                  <c:v>1.5375999999999961</c:v>
                </c:pt>
                <c:pt idx="17">
                  <c:v>1.5750249999999959</c:v>
                </c:pt>
                <c:pt idx="18">
                  <c:v>1.6128999999999956</c:v>
                </c:pt>
                <c:pt idx="19">
                  <c:v>1.6512249999999953</c:v>
                </c:pt>
                <c:pt idx="20">
                  <c:v>1.6899999999999948</c:v>
                </c:pt>
                <c:pt idx="21">
                  <c:v>1.7292249999999947</c:v>
                </c:pt>
                <c:pt idx="22">
                  <c:v>1.7688999999999944</c:v>
                </c:pt>
                <c:pt idx="23">
                  <c:v>1.8090249999999939</c:v>
                </c:pt>
                <c:pt idx="24">
                  <c:v>1.8495999999999937</c:v>
                </c:pt>
                <c:pt idx="25">
                  <c:v>1.8906249999999933</c:v>
                </c:pt>
                <c:pt idx="26">
                  <c:v>1.932099999999993</c:v>
                </c:pt>
                <c:pt idx="27">
                  <c:v>1.9740249999999926</c:v>
                </c:pt>
                <c:pt idx="28">
                  <c:v>2.0163999999999924</c:v>
                </c:pt>
                <c:pt idx="29">
                  <c:v>2.0592249999999921</c:v>
                </c:pt>
                <c:pt idx="30">
                  <c:v>2.1024999999999916</c:v>
                </c:pt>
                <c:pt idx="31">
                  <c:v>2.1462249999999909</c:v>
                </c:pt>
                <c:pt idx="32">
                  <c:v>2.1903999999999906</c:v>
                </c:pt>
                <c:pt idx="33">
                  <c:v>2.2350249999999905</c:v>
                </c:pt>
                <c:pt idx="34">
                  <c:v>2.2800999999999898</c:v>
                </c:pt>
                <c:pt idx="35">
                  <c:v>2.3256249999999894</c:v>
                </c:pt>
                <c:pt idx="36">
                  <c:v>2.3715999999999893</c:v>
                </c:pt>
                <c:pt idx="37">
                  <c:v>2.4180249999999885</c:v>
                </c:pt>
                <c:pt idx="38">
                  <c:v>2.4648999999999885</c:v>
                </c:pt>
                <c:pt idx="39">
                  <c:v>2.5122249999999879</c:v>
                </c:pt>
                <c:pt idx="40">
                  <c:v>2.5599999999999876</c:v>
                </c:pt>
                <c:pt idx="41">
                  <c:v>2.6082249999999871</c:v>
                </c:pt>
                <c:pt idx="42">
                  <c:v>2.6568999999999865</c:v>
                </c:pt>
                <c:pt idx="43">
                  <c:v>2.7060249999999861</c:v>
                </c:pt>
                <c:pt idx="44">
                  <c:v>2.7555999999999856</c:v>
                </c:pt>
                <c:pt idx="45">
                  <c:v>2.8056249999999854</c:v>
                </c:pt>
                <c:pt idx="46">
                  <c:v>2.856099999999985</c:v>
                </c:pt>
                <c:pt idx="47">
                  <c:v>2.9070249999999844</c:v>
                </c:pt>
                <c:pt idx="48">
                  <c:v>2.9583999999999837</c:v>
                </c:pt>
                <c:pt idx="49">
                  <c:v>3.0102249999999833</c:v>
                </c:pt>
                <c:pt idx="50">
                  <c:v>3.0624999999999831</c:v>
                </c:pt>
                <c:pt idx="51">
                  <c:v>3.1152249999999824</c:v>
                </c:pt>
                <c:pt idx="52">
                  <c:v>3.1683999999999819</c:v>
                </c:pt>
                <c:pt idx="53">
                  <c:v>3.2220249999999813</c:v>
                </c:pt>
                <c:pt idx="54">
                  <c:v>3.2760999999999809</c:v>
                </c:pt>
                <c:pt idx="55">
                  <c:v>3.3306249999999804</c:v>
                </c:pt>
                <c:pt idx="56">
                  <c:v>3.3855999999999797</c:v>
                </c:pt>
                <c:pt idx="57">
                  <c:v>3.4410249999999794</c:v>
                </c:pt>
                <c:pt idx="58">
                  <c:v>3.4968999999999788</c:v>
                </c:pt>
                <c:pt idx="59">
                  <c:v>3.5532249999999781</c:v>
                </c:pt>
                <c:pt idx="60">
                  <c:v>3.6099999999999777</c:v>
                </c:pt>
                <c:pt idx="61">
                  <c:v>3.6672249999999771</c:v>
                </c:pt>
                <c:pt idx="62">
                  <c:v>3.7248999999999768</c:v>
                </c:pt>
                <c:pt idx="63">
                  <c:v>3.7830249999999759</c:v>
                </c:pt>
                <c:pt idx="64">
                  <c:v>3.8415999999999757</c:v>
                </c:pt>
                <c:pt idx="65">
                  <c:v>3.9006249999999749</c:v>
                </c:pt>
                <c:pt idx="66">
                  <c:v>3.9600999999999744</c:v>
                </c:pt>
                <c:pt idx="67">
                  <c:v>4.0200249999999746</c:v>
                </c:pt>
                <c:pt idx="68">
                  <c:v>4.0803999999999752</c:v>
                </c:pt>
                <c:pt idx="69">
                  <c:v>4.1412249999999755</c:v>
                </c:pt>
                <c:pt idx="70">
                  <c:v>4.2024999999999757</c:v>
                </c:pt>
                <c:pt idx="71">
                  <c:v>4.2642249999999757</c:v>
                </c:pt>
                <c:pt idx="72">
                  <c:v>4.3263999999999765</c:v>
                </c:pt>
                <c:pt idx="73">
                  <c:v>4.3890249999999762</c:v>
                </c:pt>
                <c:pt idx="74">
                  <c:v>4.4520999999999766</c:v>
                </c:pt>
                <c:pt idx="75">
                  <c:v>4.5156249999999769</c:v>
                </c:pt>
                <c:pt idx="76">
                  <c:v>4.5795999999999779</c:v>
                </c:pt>
                <c:pt idx="77">
                  <c:v>4.6440249999999779</c:v>
                </c:pt>
                <c:pt idx="78">
                  <c:v>4.7088999999999785</c:v>
                </c:pt>
                <c:pt idx="79">
                  <c:v>4.7742249999999791</c:v>
                </c:pt>
                <c:pt idx="80">
                  <c:v>4.8399999999999794</c:v>
                </c:pt>
                <c:pt idx="81">
                  <c:v>4.9062249999999796</c:v>
                </c:pt>
                <c:pt idx="82">
                  <c:v>4.9728999999999806</c:v>
                </c:pt>
                <c:pt idx="83">
                  <c:v>5.0400249999999804</c:v>
                </c:pt>
                <c:pt idx="84">
                  <c:v>5.107599999999981</c:v>
                </c:pt>
                <c:pt idx="85">
                  <c:v>5.1756249999999815</c:v>
                </c:pt>
                <c:pt idx="86">
                  <c:v>5.2440999999999818</c:v>
                </c:pt>
                <c:pt idx="87">
                  <c:v>5.3130249999999819</c:v>
                </c:pt>
                <c:pt idx="88">
                  <c:v>5.3823999999999828</c:v>
                </c:pt>
                <c:pt idx="89">
                  <c:v>5.4522249999999834</c:v>
                </c:pt>
                <c:pt idx="90">
                  <c:v>5.522499999999984</c:v>
                </c:pt>
                <c:pt idx="91">
                  <c:v>5.5932249999999843</c:v>
                </c:pt>
                <c:pt idx="92">
                  <c:v>5.6643999999999846</c:v>
                </c:pt>
                <c:pt idx="93">
                  <c:v>5.7360249999999855</c:v>
                </c:pt>
                <c:pt idx="94">
                  <c:v>5.8080999999999854</c:v>
                </c:pt>
                <c:pt idx="95">
                  <c:v>5.880624999999986</c:v>
                </c:pt>
                <c:pt idx="96">
                  <c:v>5.9535999999999865</c:v>
                </c:pt>
                <c:pt idx="97">
                  <c:v>6.0270249999999876</c:v>
                </c:pt>
                <c:pt idx="98">
                  <c:v>6.1008999999999878</c:v>
                </c:pt>
                <c:pt idx="99">
                  <c:v>6.1752249999999886</c:v>
                </c:pt>
                <c:pt idx="100">
                  <c:v>6.2499999999999893</c:v>
                </c:pt>
                <c:pt idx="101">
                  <c:v>6.3252249999999899</c:v>
                </c:pt>
                <c:pt idx="102">
                  <c:v>6.4008999999999903</c:v>
                </c:pt>
                <c:pt idx="103">
                  <c:v>6.4770249999999905</c:v>
                </c:pt>
                <c:pt idx="104">
                  <c:v>6.5535999999999914</c:v>
                </c:pt>
                <c:pt idx="105">
                  <c:v>6.6306249999999913</c:v>
                </c:pt>
                <c:pt idx="106">
                  <c:v>6.708099999999992</c:v>
                </c:pt>
                <c:pt idx="107">
                  <c:v>6.7860249999999933</c:v>
                </c:pt>
                <c:pt idx="108">
                  <c:v>6.8643999999999936</c:v>
                </c:pt>
                <c:pt idx="109">
                  <c:v>6.9432249999999938</c:v>
                </c:pt>
                <c:pt idx="110">
                  <c:v>7.0224999999999946</c:v>
                </c:pt>
                <c:pt idx="111">
                  <c:v>7.1022249999999953</c:v>
                </c:pt>
                <c:pt idx="112">
                  <c:v>7.1823999999999959</c:v>
                </c:pt>
                <c:pt idx="113">
                  <c:v>7.2630249999999972</c:v>
                </c:pt>
                <c:pt idx="114">
                  <c:v>7.3440999999999974</c:v>
                </c:pt>
                <c:pt idx="115">
                  <c:v>7.4256249999999984</c:v>
                </c:pt>
                <c:pt idx="116">
                  <c:v>7.5075999999999992</c:v>
                </c:pt>
                <c:pt idx="117">
                  <c:v>7.5900249999999998</c:v>
                </c:pt>
                <c:pt idx="118">
                  <c:v>7.6729000000000003</c:v>
                </c:pt>
                <c:pt idx="119">
                  <c:v>7.7562250000000006</c:v>
                </c:pt>
                <c:pt idx="120">
                  <c:v>7.8400000000000016</c:v>
                </c:pt>
                <c:pt idx="121">
                  <c:v>7.9242250000000025</c:v>
                </c:pt>
                <c:pt idx="122">
                  <c:v>8.0089000000000024</c:v>
                </c:pt>
                <c:pt idx="123">
                  <c:v>8.0940250000000038</c:v>
                </c:pt>
                <c:pt idx="124">
                  <c:v>8.1796000000000042</c:v>
                </c:pt>
                <c:pt idx="125">
                  <c:v>8.2656250000000053</c:v>
                </c:pt>
                <c:pt idx="126">
                  <c:v>8.3521000000000054</c:v>
                </c:pt>
                <c:pt idx="127">
                  <c:v>8.4390250000000062</c:v>
                </c:pt>
                <c:pt idx="128">
                  <c:v>8.5264000000000078</c:v>
                </c:pt>
                <c:pt idx="129">
                  <c:v>8.6142250000000082</c:v>
                </c:pt>
                <c:pt idx="130">
                  <c:v>8.7025000000000095</c:v>
                </c:pt>
                <c:pt idx="131">
                  <c:v>8.7912250000000096</c:v>
                </c:pt>
                <c:pt idx="132">
                  <c:v>8.8804000000000105</c:v>
                </c:pt>
                <c:pt idx="133">
                  <c:v>8.9700250000000121</c:v>
                </c:pt>
                <c:pt idx="134">
                  <c:v>9.0601000000000127</c:v>
                </c:pt>
                <c:pt idx="135">
                  <c:v>9.1506250000000122</c:v>
                </c:pt>
                <c:pt idx="136">
                  <c:v>9.2416000000000142</c:v>
                </c:pt>
                <c:pt idx="137">
                  <c:v>9.3330250000000152</c:v>
                </c:pt>
                <c:pt idx="138">
                  <c:v>9.4249000000000152</c:v>
                </c:pt>
                <c:pt idx="139">
                  <c:v>9.5172250000000158</c:v>
                </c:pt>
                <c:pt idx="140">
                  <c:v>9.6100000000000172</c:v>
                </c:pt>
                <c:pt idx="141">
                  <c:v>9.7032250000000175</c:v>
                </c:pt>
                <c:pt idx="142">
                  <c:v>9.7969000000000186</c:v>
                </c:pt>
                <c:pt idx="143">
                  <c:v>9.8910250000000204</c:v>
                </c:pt>
                <c:pt idx="144">
                  <c:v>9.9856000000000211</c:v>
                </c:pt>
                <c:pt idx="145">
                  <c:v>10.080625000000021</c:v>
                </c:pt>
                <c:pt idx="146">
                  <c:v>10.176100000000023</c:v>
                </c:pt>
                <c:pt idx="147">
                  <c:v>10.272025000000022</c:v>
                </c:pt>
                <c:pt idx="148">
                  <c:v>10.368400000000024</c:v>
                </c:pt>
                <c:pt idx="149">
                  <c:v>10.465225000000025</c:v>
                </c:pt>
                <c:pt idx="150">
                  <c:v>10.562500000000027</c:v>
                </c:pt>
                <c:pt idx="151">
                  <c:v>10.660225000000027</c:v>
                </c:pt>
                <c:pt idx="152">
                  <c:v>10.758400000000028</c:v>
                </c:pt>
                <c:pt idx="153">
                  <c:v>10.857025000000029</c:v>
                </c:pt>
                <c:pt idx="154">
                  <c:v>10.956100000000029</c:v>
                </c:pt>
                <c:pt idx="155">
                  <c:v>11.055625000000031</c:v>
                </c:pt>
                <c:pt idx="156">
                  <c:v>11.155600000000032</c:v>
                </c:pt>
                <c:pt idx="157">
                  <c:v>11.256025000000033</c:v>
                </c:pt>
                <c:pt idx="158">
                  <c:v>11.356900000000033</c:v>
                </c:pt>
                <c:pt idx="159">
                  <c:v>11.458225000000034</c:v>
                </c:pt>
                <c:pt idx="160">
                  <c:v>11.560000000000036</c:v>
                </c:pt>
                <c:pt idx="161">
                  <c:v>11.662225000000037</c:v>
                </c:pt>
                <c:pt idx="162">
                  <c:v>11.764900000000038</c:v>
                </c:pt>
                <c:pt idx="163">
                  <c:v>11.868025000000038</c:v>
                </c:pt>
                <c:pt idx="164">
                  <c:v>11.97160000000004</c:v>
                </c:pt>
                <c:pt idx="165">
                  <c:v>12.075625000000041</c:v>
                </c:pt>
                <c:pt idx="166">
                  <c:v>12.180100000000042</c:v>
                </c:pt>
                <c:pt idx="167">
                  <c:v>12.285025000000044</c:v>
                </c:pt>
                <c:pt idx="168">
                  <c:v>12.390400000000044</c:v>
                </c:pt>
                <c:pt idx="169">
                  <c:v>12.496225000000045</c:v>
                </c:pt>
                <c:pt idx="170">
                  <c:v>12.602500000000045</c:v>
                </c:pt>
                <c:pt idx="171">
                  <c:v>12.709225000000048</c:v>
                </c:pt>
                <c:pt idx="172">
                  <c:v>12.816400000000048</c:v>
                </c:pt>
                <c:pt idx="173">
                  <c:v>12.92402500000005</c:v>
                </c:pt>
                <c:pt idx="174">
                  <c:v>13.03210000000005</c:v>
                </c:pt>
                <c:pt idx="175">
                  <c:v>13.140625000000052</c:v>
                </c:pt>
                <c:pt idx="176">
                  <c:v>13.249600000000052</c:v>
                </c:pt>
                <c:pt idx="177">
                  <c:v>13.359025000000054</c:v>
                </c:pt>
                <c:pt idx="178">
                  <c:v>13.468900000000055</c:v>
                </c:pt>
                <c:pt idx="179">
                  <c:v>13.579225000000056</c:v>
                </c:pt>
                <c:pt idx="180">
                  <c:v>13.690000000000056</c:v>
                </c:pt>
                <c:pt idx="181">
                  <c:v>13.801225000000059</c:v>
                </c:pt>
                <c:pt idx="182">
                  <c:v>13.912900000000059</c:v>
                </c:pt>
                <c:pt idx="183">
                  <c:v>14.02502500000006</c:v>
                </c:pt>
                <c:pt idx="184">
                  <c:v>14.137600000000061</c:v>
                </c:pt>
                <c:pt idx="185">
                  <c:v>14.250625000000063</c:v>
                </c:pt>
                <c:pt idx="186">
                  <c:v>14.364100000000064</c:v>
                </c:pt>
                <c:pt idx="187">
                  <c:v>14.478025000000066</c:v>
                </c:pt>
                <c:pt idx="188">
                  <c:v>14.592400000000067</c:v>
                </c:pt>
                <c:pt idx="189">
                  <c:v>14.707225000000069</c:v>
                </c:pt>
                <c:pt idx="190">
                  <c:v>14.822500000000069</c:v>
                </c:pt>
                <c:pt idx="191">
                  <c:v>14.93822500000007</c:v>
                </c:pt>
                <c:pt idx="192">
                  <c:v>15.054400000000072</c:v>
                </c:pt>
                <c:pt idx="193">
                  <c:v>15.171025000000073</c:v>
                </c:pt>
                <c:pt idx="194">
                  <c:v>15.288100000000075</c:v>
                </c:pt>
                <c:pt idx="195">
                  <c:v>15.405625000000075</c:v>
                </c:pt>
                <c:pt idx="196">
                  <c:v>15.523600000000076</c:v>
                </c:pt>
                <c:pt idx="197">
                  <c:v>15.642025000000078</c:v>
                </c:pt>
                <c:pt idx="198">
                  <c:v>15.760900000000079</c:v>
                </c:pt>
                <c:pt idx="199">
                  <c:v>15.880225000000081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5-42EE-A72F-4CB0AA125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296552"/>
        <c:axId val="632292616"/>
      </c:lineChart>
      <c:catAx>
        <c:axId val="632296552"/>
        <c:scaling>
          <c:orientation val="minMax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292616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63229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296552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'Trapezoidal Rule'!$G$3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'Trapezoidal Rule'!$F$4:$F$304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1.375</c:v>
                </c:pt>
                <c:pt idx="4">
                  <c:v>1.375</c:v>
                </c:pt>
                <c:pt idx="5">
                  <c:v>1.375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2.125</c:v>
                </c:pt>
                <c:pt idx="10">
                  <c:v>2.125</c:v>
                </c:pt>
                <c:pt idx="11">
                  <c:v>2.125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2.875</c:v>
                </c:pt>
                <c:pt idx="16">
                  <c:v>2.875</c:v>
                </c:pt>
                <c:pt idx="17">
                  <c:v>2.875</c:v>
                </c:pt>
                <c:pt idx="18">
                  <c:v>3.25</c:v>
                </c:pt>
                <c:pt idx="19">
                  <c:v>3.25</c:v>
                </c:pt>
                <c:pt idx="20">
                  <c:v>3.25</c:v>
                </c:pt>
                <c:pt idx="21">
                  <c:v>3.625</c:v>
                </c:pt>
                <c:pt idx="22">
                  <c:v>3.625</c:v>
                </c:pt>
                <c:pt idx="23">
                  <c:v>3.625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</c:numCache>
            </c:numRef>
          </c:xVal>
          <c:yVal>
            <c:numRef>
              <c:f>'Trapezoidal Rule'!$G$4:$G$304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1.890625</c:v>
                </c:pt>
                <c:pt idx="4">
                  <c:v>0</c:v>
                </c:pt>
                <c:pt idx="5">
                  <c:v>1.890625</c:v>
                </c:pt>
                <c:pt idx="6">
                  <c:v>3.0625</c:v>
                </c:pt>
                <c:pt idx="7">
                  <c:v>0</c:v>
                </c:pt>
                <c:pt idx="8">
                  <c:v>3.0625</c:v>
                </c:pt>
                <c:pt idx="9">
                  <c:v>4.515625</c:v>
                </c:pt>
                <c:pt idx="10">
                  <c:v>0</c:v>
                </c:pt>
                <c:pt idx="11">
                  <c:v>4.515625</c:v>
                </c:pt>
                <c:pt idx="12">
                  <c:v>6.25</c:v>
                </c:pt>
                <c:pt idx="13">
                  <c:v>0</c:v>
                </c:pt>
                <c:pt idx="14">
                  <c:v>6.25</c:v>
                </c:pt>
                <c:pt idx="15">
                  <c:v>8.265625</c:v>
                </c:pt>
                <c:pt idx="16">
                  <c:v>0</c:v>
                </c:pt>
                <c:pt idx="17">
                  <c:v>8.265625</c:v>
                </c:pt>
                <c:pt idx="18">
                  <c:v>10.5625</c:v>
                </c:pt>
                <c:pt idx="19">
                  <c:v>0</c:v>
                </c:pt>
                <c:pt idx="20">
                  <c:v>10.5625</c:v>
                </c:pt>
                <c:pt idx="21">
                  <c:v>13.140625</c:v>
                </c:pt>
                <c:pt idx="22">
                  <c:v>0</c:v>
                </c:pt>
                <c:pt idx="23">
                  <c:v>13.140625</c:v>
                </c:pt>
                <c:pt idx="24">
                  <c:v>16</c:v>
                </c:pt>
                <c:pt idx="25">
                  <c:v>0</c:v>
                </c:pt>
                <c:pt idx="26">
                  <c:v>16</c:v>
                </c:pt>
                <c:pt idx="27">
                  <c:v>16</c:v>
                </c:pt>
                <c:pt idx="28">
                  <c:v>0</c:v>
                </c:pt>
                <c:pt idx="29">
                  <c:v>16</c:v>
                </c:pt>
                <c:pt idx="30">
                  <c:v>16</c:v>
                </c:pt>
                <c:pt idx="31">
                  <c:v>0</c:v>
                </c:pt>
                <c:pt idx="32">
                  <c:v>16</c:v>
                </c:pt>
                <c:pt idx="33">
                  <c:v>16</c:v>
                </c:pt>
                <c:pt idx="34">
                  <c:v>0</c:v>
                </c:pt>
                <c:pt idx="35">
                  <c:v>16</c:v>
                </c:pt>
                <c:pt idx="36">
                  <c:v>16</c:v>
                </c:pt>
                <c:pt idx="37">
                  <c:v>0</c:v>
                </c:pt>
                <c:pt idx="38">
                  <c:v>16</c:v>
                </c:pt>
                <c:pt idx="39">
                  <c:v>16</c:v>
                </c:pt>
                <c:pt idx="40">
                  <c:v>0</c:v>
                </c:pt>
                <c:pt idx="41">
                  <c:v>16</c:v>
                </c:pt>
                <c:pt idx="42">
                  <c:v>16</c:v>
                </c:pt>
                <c:pt idx="43">
                  <c:v>0</c:v>
                </c:pt>
                <c:pt idx="44">
                  <c:v>16</c:v>
                </c:pt>
                <c:pt idx="45">
                  <c:v>16</c:v>
                </c:pt>
                <c:pt idx="46">
                  <c:v>0</c:v>
                </c:pt>
                <c:pt idx="47">
                  <c:v>16</c:v>
                </c:pt>
                <c:pt idx="48">
                  <c:v>16</c:v>
                </c:pt>
                <c:pt idx="49">
                  <c:v>0</c:v>
                </c:pt>
                <c:pt idx="50">
                  <c:v>16</c:v>
                </c:pt>
                <c:pt idx="51">
                  <c:v>16</c:v>
                </c:pt>
                <c:pt idx="52">
                  <c:v>0</c:v>
                </c:pt>
                <c:pt idx="53">
                  <c:v>16</c:v>
                </c:pt>
                <c:pt idx="54">
                  <c:v>16</c:v>
                </c:pt>
                <c:pt idx="55">
                  <c:v>0</c:v>
                </c:pt>
                <c:pt idx="56">
                  <c:v>16</c:v>
                </c:pt>
                <c:pt idx="57">
                  <c:v>16</c:v>
                </c:pt>
                <c:pt idx="58">
                  <c:v>0</c:v>
                </c:pt>
                <c:pt idx="59">
                  <c:v>16</c:v>
                </c:pt>
                <c:pt idx="60">
                  <c:v>16</c:v>
                </c:pt>
                <c:pt idx="61">
                  <c:v>0</c:v>
                </c:pt>
                <c:pt idx="62">
                  <c:v>16</c:v>
                </c:pt>
                <c:pt idx="63">
                  <c:v>16</c:v>
                </c:pt>
                <c:pt idx="64">
                  <c:v>0</c:v>
                </c:pt>
                <c:pt idx="65">
                  <c:v>16</c:v>
                </c:pt>
                <c:pt idx="66">
                  <c:v>16</c:v>
                </c:pt>
                <c:pt idx="67">
                  <c:v>0</c:v>
                </c:pt>
                <c:pt idx="68">
                  <c:v>16</c:v>
                </c:pt>
                <c:pt idx="69">
                  <c:v>16</c:v>
                </c:pt>
                <c:pt idx="70">
                  <c:v>0</c:v>
                </c:pt>
                <c:pt idx="71">
                  <c:v>16</c:v>
                </c:pt>
                <c:pt idx="72">
                  <c:v>16</c:v>
                </c:pt>
                <c:pt idx="73">
                  <c:v>0</c:v>
                </c:pt>
                <c:pt idx="74">
                  <c:v>16</c:v>
                </c:pt>
                <c:pt idx="75">
                  <c:v>16</c:v>
                </c:pt>
                <c:pt idx="76">
                  <c:v>0</c:v>
                </c:pt>
                <c:pt idx="77">
                  <c:v>16</c:v>
                </c:pt>
                <c:pt idx="78">
                  <c:v>16</c:v>
                </c:pt>
                <c:pt idx="79">
                  <c:v>0</c:v>
                </c:pt>
                <c:pt idx="80">
                  <c:v>16</c:v>
                </c:pt>
                <c:pt idx="81">
                  <c:v>16</c:v>
                </c:pt>
                <c:pt idx="82">
                  <c:v>0</c:v>
                </c:pt>
                <c:pt idx="83">
                  <c:v>16</c:v>
                </c:pt>
                <c:pt idx="84">
                  <c:v>16</c:v>
                </c:pt>
                <c:pt idx="85">
                  <c:v>0</c:v>
                </c:pt>
                <c:pt idx="86">
                  <c:v>16</c:v>
                </c:pt>
                <c:pt idx="87">
                  <c:v>16</c:v>
                </c:pt>
                <c:pt idx="88">
                  <c:v>0</c:v>
                </c:pt>
                <c:pt idx="89">
                  <c:v>16</c:v>
                </c:pt>
                <c:pt idx="90">
                  <c:v>16</c:v>
                </c:pt>
                <c:pt idx="91">
                  <c:v>0</c:v>
                </c:pt>
                <c:pt idx="92">
                  <c:v>16</c:v>
                </c:pt>
                <c:pt idx="93">
                  <c:v>16</c:v>
                </c:pt>
                <c:pt idx="94">
                  <c:v>0</c:v>
                </c:pt>
                <c:pt idx="95">
                  <c:v>16</c:v>
                </c:pt>
                <c:pt idx="96">
                  <c:v>16</c:v>
                </c:pt>
                <c:pt idx="97">
                  <c:v>0</c:v>
                </c:pt>
                <c:pt idx="98">
                  <c:v>16</c:v>
                </c:pt>
                <c:pt idx="99">
                  <c:v>16</c:v>
                </c:pt>
                <c:pt idx="100">
                  <c:v>0</c:v>
                </c:pt>
                <c:pt idx="101">
                  <c:v>16</c:v>
                </c:pt>
                <c:pt idx="102">
                  <c:v>16</c:v>
                </c:pt>
                <c:pt idx="103">
                  <c:v>0</c:v>
                </c:pt>
                <c:pt idx="104">
                  <c:v>16</c:v>
                </c:pt>
                <c:pt idx="105">
                  <c:v>16</c:v>
                </c:pt>
                <c:pt idx="106">
                  <c:v>0</c:v>
                </c:pt>
                <c:pt idx="107">
                  <c:v>16</c:v>
                </c:pt>
                <c:pt idx="108">
                  <c:v>16</c:v>
                </c:pt>
                <c:pt idx="109">
                  <c:v>0</c:v>
                </c:pt>
                <c:pt idx="110">
                  <c:v>16</c:v>
                </c:pt>
                <c:pt idx="111">
                  <c:v>16</c:v>
                </c:pt>
                <c:pt idx="112">
                  <c:v>0</c:v>
                </c:pt>
                <c:pt idx="113">
                  <c:v>16</c:v>
                </c:pt>
                <c:pt idx="114">
                  <c:v>16</c:v>
                </c:pt>
                <c:pt idx="115">
                  <c:v>0</c:v>
                </c:pt>
                <c:pt idx="116">
                  <c:v>16</c:v>
                </c:pt>
                <c:pt idx="117">
                  <c:v>16</c:v>
                </c:pt>
                <c:pt idx="118">
                  <c:v>0</c:v>
                </c:pt>
                <c:pt idx="119">
                  <c:v>16</c:v>
                </c:pt>
                <c:pt idx="120">
                  <c:v>16</c:v>
                </c:pt>
                <c:pt idx="121">
                  <c:v>0</c:v>
                </c:pt>
                <c:pt idx="122">
                  <c:v>16</c:v>
                </c:pt>
                <c:pt idx="123">
                  <c:v>16</c:v>
                </c:pt>
                <c:pt idx="124">
                  <c:v>0</c:v>
                </c:pt>
                <c:pt idx="125">
                  <c:v>16</c:v>
                </c:pt>
                <c:pt idx="126">
                  <c:v>16</c:v>
                </c:pt>
                <c:pt idx="127">
                  <c:v>0</c:v>
                </c:pt>
                <c:pt idx="128">
                  <c:v>16</c:v>
                </c:pt>
                <c:pt idx="129">
                  <c:v>16</c:v>
                </c:pt>
                <c:pt idx="130">
                  <c:v>0</c:v>
                </c:pt>
                <c:pt idx="131">
                  <c:v>16</c:v>
                </c:pt>
                <c:pt idx="132">
                  <c:v>16</c:v>
                </c:pt>
                <c:pt idx="133">
                  <c:v>0</c:v>
                </c:pt>
                <c:pt idx="134">
                  <c:v>16</c:v>
                </c:pt>
                <c:pt idx="135">
                  <c:v>16</c:v>
                </c:pt>
                <c:pt idx="136">
                  <c:v>0</c:v>
                </c:pt>
                <c:pt idx="137">
                  <c:v>16</c:v>
                </c:pt>
                <c:pt idx="138">
                  <c:v>16</c:v>
                </c:pt>
                <c:pt idx="139">
                  <c:v>0</c:v>
                </c:pt>
                <c:pt idx="140">
                  <c:v>16</c:v>
                </c:pt>
                <c:pt idx="141">
                  <c:v>16</c:v>
                </c:pt>
                <c:pt idx="142">
                  <c:v>0</c:v>
                </c:pt>
                <c:pt idx="143">
                  <c:v>16</c:v>
                </c:pt>
                <c:pt idx="144">
                  <c:v>16</c:v>
                </c:pt>
                <c:pt idx="145">
                  <c:v>0</c:v>
                </c:pt>
                <c:pt idx="146">
                  <c:v>16</c:v>
                </c:pt>
                <c:pt idx="147">
                  <c:v>16</c:v>
                </c:pt>
                <c:pt idx="148">
                  <c:v>0</c:v>
                </c:pt>
                <c:pt idx="149">
                  <c:v>16</c:v>
                </c:pt>
                <c:pt idx="150">
                  <c:v>16</c:v>
                </c:pt>
                <c:pt idx="151">
                  <c:v>0</c:v>
                </c:pt>
                <c:pt idx="152">
                  <c:v>16</c:v>
                </c:pt>
                <c:pt idx="153">
                  <c:v>16</c:v>
                </c:pt>
                <c:pt idx="154">
                  <c:v>0</c:v>
                </c:pt>
                <c:pt idx="155">
                  <c:v>16</c:v>
                </c:pt>
                <c:pt idx="156">
                  <c:v>16</c:v>
                </c:pt>
                <c:pt idx="157">
                  <c:v>0</c:v>
                </c:pt>
                <c:pt idx="158">
                  <c:v>16</c:v>
                </c:pt>
                <c:pt idx="159">
                  <c:v>16</c:v>
                </c:pt>
                <c:pt idx="160">
                  <c:v>0</c:v>
                </c:pt>
                <c:pt idx="161">
                  <c:v>16</c:v>
                </c:pt>
                <c:pt idx="162">
                  <c:v>16</c:v>
                </c:pt>
                <c:pt idx="163">
                  <c:v>0</c:v>
                </c:pt>
                <c:pt idx="164">
                  <c:v>16</c:v>
                </c:pt>
                <c:pt idx="165">
                  <c:v>16</c:v>
                </c:pt>
                <c:pt idx="166">
                  <c:v>0</c:v>
                </c:pt>
                <c:pt idx="167">
                  <c:v>16</c:v>
                </c:pt>
                <c:pt idx="168">
                  <c:v>16</c:v>
                </c:pt>
                <c:pt idx="169">
                  <c:v>0</c:v>
                </c:pt>
                <c:pt idx="170">
                  <c:v>16</c:v>
                </c:pt>
                <c:pt idx="171">
                  <c:v>16</c:v>
                </c:pt>
                <c:pt idx="172">
                  <c:v>0</c:v>
                </c:pt>
                <c:pt idx="173">
                  <c:v>16</c:v>
                </c:pt>
                <c:pt idx="174">
                  <c:v>16</c:v>
                </c:pt>
                <c:pt idx="175">
                  <c:v>0</c:v>
                </c:pt>
                <c:pt idx="176">
                  <c:v>16</c:v>
                </c:pt>
                <c:pt idx="177">
                  <c:v>16</c:v>
                </c:pt>
                <c:pt idx="178">
                  <c:v>0</c:v>
                </c:pt>
                <c:pt idx="179">
                  <c:v>16</c:v>
                </c:pt>
                <c:pt idx="180">
                  <c:v>16</c:v>
                </c:pt>
                <c:pt idx="181">
                  <c:v>0</c:v>
                </c:pt>
                <c:pt idx="182">
                  <c:v>16</c:v>
                </c:pt>
                <c:pt idx="183">
                  <c:v>16</c:v>
                </c:pt>
                <c:pt idx="184">
                  <c:v>0</c:v>
                </c:pt>
                <c:pt idx="185">
                  <c:v>16</c:v>
                </c:pt>
                <c:pt idx="186">
                  <c:v>16</c:v>
                </c:pt>
                <c:pt idx="187">
                  <c:v>0</c:v>
                </c:pt>
                <c:pt idx="188">
                  <c:v>16</c:v>
                </c:pt>
                <c:pt idx="189">
                  <c:v>16</c:v>
                </c:pt>
                <c:pt idx="190">
                  <c:v>0</c:v>
                </c:pt>
                <c:pt idx="191">
                  <c:v>16</c:v>
                </c:pt>
                <c:pt idx="192">
                  <c:v>16</c:v>
                </c:pt>
                <c:pt idx="193">
                  <c:v>0</c:v>
                </c:pt>
                <c:pt idx="194">
                  <c:v>16</c:v>
                </c:pt>
                <c:pt idx="195">
                  <c:v>16</c:v>
                </c:pt>
                <c:pt idx="196">
                  <c:v>0</c:v>
                </c:pt>
                <c:pt idx="197">
                  <c:v>16</c:v>
                </c:pt>
                <c:pt idx="198">
                  <c:v>16</c:v>
                </c:pt>
                <c:pt idx="199">
                  <c:v>0</c:v>
                </c:pt>
                <c:pt idx="200">
                  <c:v>16</c:v>
                </c:pt>
                <c:pt idx="201">
                  <c:v>16</c:v>
                </c:pt>
                <c:pt idx="202">
                  <c:v>0</c:v>
                </c:pt>
                <c:pt idx="203">
                  <c:v>16</c:v>
                </c:pt>
                <c:pt idx="204">
                  <c:v>16</c:v>
                </c:pt>
                <c:pt idx="205">
                  <c:v>0</c:v>
                </c:pt>
                <c:pt idx="206">
                  <c:v>16</c:v>
                </c:pt>
                <c:pt idx="207">
                  <c:v>16</c:v>
                </c:pt>
                <c:pt idx="208">
                  <c:v>0</c:v>
                </c:pt>
                <c:pt idx="209">
                  <c:v>16</c:v>
                </c:pt>
                <c:pt idx="210">
                  <c:v>16</c:v>
                </c:pt>
                <c:pt idx="211">
                  <c:v>0</c:v>
                </c:pt>
                <c:pt idx="212">
                  <c:v>16</c:v>
                </c:pt>
                <c:pt idx="213">
                  <c:v>16</c:v>
                </c:pt>
                <c:pt idx="214">
                  <c:v>0</c:v>
                </c:pt>
                <c:pt idx="215">
                  <c:v>16</c:v>
                </c:pt>
                <c:pt idx="216">
                  <c:v>16</c:v>
                </c:pt>
                <c:pt idx="217">
                  <c:v>0</c:v>
                </c:pt>
                <c:pt idx="218">
                  <c:v>16</c:v>
                </c:pt>
                <c:pt idx="219">
                  <c:v>16</c:v>
                </c:pt>
                <c:pt idx="220">
                  <c:v>0</c:v>
                </c:pt>
                <c:pt idx="221">
                  <c:v>16</c:v>
                </c:pt>
                <c:pt idx="222">
                  <c:v>16</c:v>
                </c:pt>
                <c:pt idx="223">
                  <c:v>0</c:v>
                </c:pt>
                <c:pt idx="224">
                  <c:v>16</c:v>
                </c:pt>
                <c:pt idx="225">
                  <c:v>16</c:v>
                </c:pt>
                <c:pt idx="226">
                  <c:v>0</c:v>
                </c:pt>
                <c:pt idx="227">
                  <c:v>16</c:v>
                </c:pt>
                <c:pt idx="228">
                  <c:v>16</c:v>
                </c:pt>
                <c:pt idx="229">
                  <c:v>0</c:v>
                </c:pt>
                <c:pt idx="230">
                  <c:v>16</c:v>
                </c:pt>
                <c:pt idx="231">
                  <c:v>16</c:v>
                </c:pt>
                <c:pt idx="232">
                  <c:v>0</c:v>
                </c:pt>
                <c:pt idx="233">
                  <c:v>16</c:v>
                </c:pt>
                <c:pt idx="234">
                  <c:v>16</c:v>
                </c:pt>
                <c:pt idx="235">
                  <c:v>0</c:v>
                </c:pt>
                <c:pt idx="236">
                  <c:v>16</c:v>
                </c:pt>
                <c:pt idx="237">
                  <c:v>16</c:v>
                </c:pt>
                <c:pt idx="238">
                  <c:v>0</c:v>
                </c:pt>
                <c:pt idx="239">
                  <c:v>16</c:v>
                </c:pt>
                <c:pt idx="240">
                  <c:v>16</c:v>
                </c:pt>
                <c:pt idx="241">
                  <c:v>0</c:v>
                </c:pt>
                <c:pt idx="242">
                  <c:v>16</c:v>
                </c:pt>
                <c:pt idx="243">
                  <c:v>16</c:v>
                </c:pt>
                <c:pt idx="244">
                  <c:v>0</c:v>
                </c:pt>
                <c:pt idx="245">
                  <c:v>16</c:v>
                </c:pt>
                <c:pt idx="246">
                  <c:v>16</c:v>
                </c:pt>
                <c:pt idx="247">
                  <c:v>0</c:v>
                </c:pt>
                <c:pt idx="248">
                  <c:v>16</c:v>
                </c:pt>
                <c:pt idx="249">
                  <c:v>16</c:v>
                </c:pt>
                <c:pt idx="250">
                  <c:v>0</c:v>
                </c:pt>
                <c:pt idx="251">
                  <c:v>16</c:v>
                </c:pt>
                <c:pt idx="252">
                  <c:v>16</c:v>
                </c:pt>
                <c:pt idx="253">
                  <c:v>0</c:v>
                </c:pt>
                <c:pt idx="254">
                  <c:v>16</c:v>
                </c:pt>
                <c:pt idx="255">
                  <c:v>16</c:v>
                </c:pt>
                <c:pt idx="256">
                  <c:v>0</c:v>
                </c:pt>
                <c:pt idx="257">
                  <c:v>16</c:v>
                </c:pt>
                <c:pt idx="258">
                  <c:v>16</c:v>
                </c:pt>
                <c:pt idx="259">
                  <c:v>0</c:v>
                </c:pt>
                <c:pt idx="260">
                  <c:v>16</c:v>
                </c:pt>
                <c:pt idx="261">
                  <c:v>16</c:v>
                </c:pt>
                <c:pt idx="262">
                  <c:v>0</c:v>
                </c:pt>
                <c:pt idx="263">
                  <c:v>16</c:v>
                </c:pt>
                <c:pt idx="264">
                  <c:v>16</c:v>
                </c:pt>
                <c:pt idx="265">
                  <c:v>0</c:v>
                </c:pt>
                <c:pt idx="266">
                  <c:v>16</c:v>
                </c:pt>
                <c:pt idx="267">
                  <c:v>16</c:v>
                </c:pt>
                <c:pt idx="268">
                  <c:v>0</c:v>
                </c:pt>
                <c:pt idx="269">
                  <c:v>16</c:v>
                </c:pt>
                <c:pt idx="270">
                  <c:v>16</c:v>
                </c:pt>
                <c:pt idx="271">
                  <c:v>0</c:v>
                </c:pt>
                <c:pt idx="272">
                  <c:v>16</c:v>
                </c:pt>
                <c:pt idx="273">
                  <c:v>16</c:v>
                </c:pt>
                <c:pt idx="274">
                  <c:v>0</c:v>
                </c:pt>
                <c:pt idx="275">
                  <c:v>16</c:v>
                </c:pt>
                <c:pt idx="276">
                  <c:v>16</c:v>
                </c:pt>
                <c:pt idx="277">
                  <c:v>0</c:v>
                </c:pt>
                <c:pt idx="278">
                  <c:v>16</c:v>
                </c:pt>
                <c:pt idx="279">
                  <c:v>16</c:v>
                </c:pt>
                <c:pt idx="280">
                  <c:v>0</c:v>
                </c:pt>
                <c:pt idx="281">
                  <c:v>16</c:v>
                </c:pt>
                <c:pt idx="282">
                  <c:v>16</c:v>
                </c:pt>
                <c:pt idx="283">
                  <c:v>0</c:v>
                </c:pt>
                <c:pt idx="284">
                  <c:v>16</c:v>
                </c:pt>
                <c:pt idx="285">
                  <c:v>16</c:v>
                </c:pt>
                <c:pt idx="286">
                  <c:v>0</c:v>
                </c:pt>
                <c:pt idx="287">
                  <c:v>16</c:v>
                </c:pt>
                <c:pt idx="288">
                  <c:v>16</c:v>
                </c:pt>
                <c:pt idx="289">
                  <c:v>0</c:v>
                </c:pt>
                <c:pt idx="290">
                  <c:v>16</c:v>
                </c:pt>
                <c:pt idx="291">
                  <c:v>16</c:v>
                </c:pt>
                <c:pt idx="292">
                  <c:v>0</c:v>
                </c:pt>
                <c:pt idx="293">
                  <c:v>16</c:v>
                </c:pt>
                <c:pt idx="294">
                  <c:v>16</c:v>
                </c:pt>
                <c:pt idx="295">
                  <c:v>0</c:v>
                </c:pt>
                <c:pt idx="296">
                  <c:v>16</c:v>
                </c:pt>
                <c:pt idx="297">
                  <c:v>16</c:v>
                </c:pt>
                <c:pt idx="298">
                  <c:v>0</c:v>
                </c:pt>
                <c:pt idx="299">
                  <c:v>16</c:v>
                </c:pt>
                <c:pt idx="30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8-470E-A6CA-7B21669422D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'Trapezoidal Rule'!$K$4:$K$204</c:f>
              <c:numCache>
                <c:formatCode>General</c:formatCode>
                <c:ptCount val="201"/>
                <c:pt idx="0">
                  <c:v>1</c:v>
                </c:pt>
                <c:pt idx="1">
                  <c:v>1.0149999999999999</c:v>
                </c:pt>
                <c:pt idx="2">
                  <c:v>1.0299999999999998</c:v>
                </c:pt>
                <c:pt idx="3">
                  <c:v>1.0449999999999997</c:v>
                </c:pt>
                <c:pt idx="4">
                  <c:v>1.0599999999999996</c:v>
                </c:pt>
                <c:pt idx="5">
                  <c:v>1.0749999999999995</c:v>
                </c:pt>
                <c:pt idx="6">
                  <c:v>1.0899999999999994</c:v>
                </c:pt>
                <c:pt idx="7">
                  <c:v>1.1049999999999993</c:v>
                </c:pt>
                <c:pt idx="8">
                  <c:v>1.1199999999999992</c:v>
                </c:pt>
                <c:pt idx="9">
                  <c:v>1.1349999999999991</c:v>
                </c:pt>
                <c:pt idx="10">
                  <c:v>1.149999999999999</c:v>
                </c:pt>
                <c:pt idx="11">
                  <c:v>1.1649999999999989</c:v>
                </c:pt>
                <c:pt idx="12">
                  <c:v>1.1799999999999988</c:v>
                </c:pt>
                <c:pt idx="13">
                  <c:v>1.1949999999999987</c:v>
                </c:pt>
                <c:pt idx="14">
                  <c:v>1.2099999999999986</c:v>
                </c:pt>
                <c:pt idx="15">
                  <c:v>1.2249999999999985</c:v>
                </c:pt>
                <c:pt idx="16">
                  <c:v>1.2399999999999984</c:v>
                </c:pt>
                <c:pt idx="17">
                  <c:v>1.2549999999999983</c:v>
                </c:pt>
                <c:pt idx="18">
                  <c:v>1.2699999999999982</c:v>
                </c:pt>
                <c:pt idx="19">
                  <c:v>1.2849999999999981</c:v>
                </c:pt>
                <c:pt idx="20">
                  <c:v>1.299999999999998</c:v>
                </c:pt>
                <c:pt idx="21">
                  <c:v>1.3149999999999979</c:v>
                </c:pt>
                <c:pt idx="22">
                  <c:v>1.3299999999999979</c:v>
                </c:pt>
                <c:pt idx="23">
                  <c:v>1.3449999999999978</c:v>
                </c:pt>
                <c:pt idx="24">
                  <c:v>1.3599999999999977</c:v>
                </c:pt>
                <c:pt idx="25">
                  <c:v>1.3749999999999976</c:v>
                </c:pt>
                <c:pt idx="26">
                  <c:v>1.3899999999999975</c:v>
                </c:pt>
                <c:pt idx="27">
                  <c:v>1.4049999999999974</c:v>
                </c:pt>
                <c:pt idx="28">
                  <c:v>1.4199999999999973</c:v>
                </c:pt>
                <c:pt idx="29">
                  <c:v>1.4349999999999972</c:v>
                </c:pt>
                <c:pt idx="30">
                  <c:v>1.4499999999999971</c:v>
                </c:pt>
                <c:pt idx="31">
                  <c:v>1.464999999999997</c:v>
                </c:pt>
                <c:pt idx="32">
                  <c:v>1.4799999999999969</c:v>
                </c:pt>
                <c:pt idx="33">
                  <c:v>1.4949999999999968</c:v>
                </c:pt>
                <c:pt idx="34">
                  <c:v>1.5099999999999967</c:v>
                </c:pt>
                <c:pt idx="35">
                  <c:v>1.5249999999999966</c:v>
                </c:pt>
                <c:pt idx="36">
                  <c:v>1.5399999999999965</c:v>
                </c:pt>
                <c:pt idx="37">
                  <c:v>1.5549999999999964</c:v>
                </c:pt>
                <c:pt idx="38">
                  <c:v>1.5699999999999963</c:v>
                </c:pt>
                <c:pt idx="39">
                  <c:v>1.5849999999999962</c:v>
                </c:pt>
                <c:pt idx="40">
                  <c:v>1.5999999999999961</c:v>
                </c:pt>
                <c:pt idx="41">
                  <c:v>1.614999999999996</c:v>
                </c:pt>
                <c:pt idx="42">
                  <c:v>1.6299999999999959</c:v>
                </c:pt>
                <c:pt idx="43">
                  <c:v>1.6449999999999958</c:v>
                </c:pt>
                <c:pt idx="44">
                  <c:v>1.6599999999999957</c:v>
                </c:pt>
                <c:pt idx="45">
                  <c:v>1.6749999999999956</c:v>
                </c:pt>
                <c:pt idx="46">
                  <c:v>1.6899999999999955</c:v>
                </c:pt>
                <c:pt idx="47">
                  <c:v>1.7049999999999954</c:v>
                </c:pt>
                <c:pt idx="48">
                  <c:v>1.7199999999999953</c:v>
                </c:pt>
                <c:pt idx="49">
                  <c:v>1.7349999999999952</c:v>
                </c:pt>
                <c:pt idx="50">
                  <c:v>1.7499999999999951</c:v>
                </c:pt>
                <c:pt idx="51">
                  <c:v>1.764999999999995</c:v>
                </c:pt>
                <c:pt idx="52">
                  <c:v>1.7799999999999949</c:v>
                </c:pt>
                <c:pt idx="53">
                  <c:v>1.7949999999999948</c:v>
                </c:pt>
                <c:pt idx="54">
                  <c:v>1.8099999999999947</c:v>
                </c:pt>
                <c:pt idx="55">
                  <c:v>1.8249999999999946</c:v>
                </c:pt>
                <c:pt idx="56">
                  <c:v>1.8399999999999945</c:v>
                </c:pt>
                <c:pt idx="57">
                  <c:v>1.8549999999999944</c:v>
                </c:pt>
                <c:pt idx="58">
                  <c:v>1.8699999999999943</c:v>
                </c:pt>
                <c:pt idx="59">
                  <c:v>1.8849999999999942</c:v>
                </c:pt>
                <c:pt idx="60">
                  <c:v>1.8999999999999941</c:v>
                </c:pt>
                <c:pt idx="61">
                  <c:v>1.914999999999994</c:v>
                </c:pt>
                <c:pt idx="62">
                  <c:v>1.9299999999999939</c:v>
                </c:pt>
                <c:pt idx="63">
                  <c:v>1.9449999999999938</c:v>
                </c:pt>
                <c:pt idx="64">
                  <c:v>1.9599999999999937</c:v>
                </c:pt>
                <c:pt idx="65">
                  <c:v>1.9749999999999936</c:v>
                </c:pt>
                <c:pt idx="66">
                  <c:v>1.9899999999999936</c:v>
                </c:pt>
                <c:pt idx="67">
                  <c:v>2.0049999999999937</c:v>
                </c:pt>
                <c:pt idx="68">
                  <c:v>2.0199999999999938</c:v>
                </c:pt>
                <c:pt idx="69">
                  <c:v>2.0349999999999939</c:v>
                </c:pt>
                <c:pt idx="70">
                  <c:v>2.049999999999994</c:v>
                </c:pt>
                <c:pt idx="71">
                  <c:v>2.0649999999999942</c:v>
                </c:pt>
                <c:pt idx="72">
                  <c:v>2.0799999999999943</c:v>
                </c:pt>
                <c:pt idx="73">
                  <c:v>2.0949999999999944</c:v>
                </c:pt>
                <c:pt idx="74">
                  <c:v>2.1099999999999945</c:v>
                </c:pt>
                <c:pt idx="75">
                  <c:v>2.1249999999999947</c:v>
                </c:pt>
                <c:pt idx="76">
                  <c:v>2.1399999999999948</c:v>
                </c:pt>
                <c:pt idx="77">
                  <c:v>2.1549999999999949</c:v>
                </c:pt>
                <c:pt idx="78">
                  <c:v>2.169999999999995</c:v>
                </c:pt>
                <c:pt idx="79">
                  <c:v>2.1849999999999952</c:v>
                </c:pt>
                <c:pt idx="80">
                  <c:v>2.1999999999999953</c:v>
                </c:pt>
                <c:pt idx="81">
                  <c:v>2.2149999999999954</c:v>
                </c:pt>
                <c:pt idx="82">
                  <c:v>2.2299999999999955</c:v>
                </c:pt>
                <c:pt idx="83">
                  <c:v>2.2449999999999957</c:v>
                </c:pt>
                <c:pt idx="84">
                  <c:v>2.2599999999999958</c:v>
                </c:pt>
                <c:pt idx="85">
                  <c:v>2.2749999999999959</c:v>
                </c:pt>
                <c:pt idx="86">
                  <c:v>2.289999999999996</c:v>
                </c:pt>
                <c:pt idx="87">
                  <c:v>2.3049999999999962</c:v>
                </c:pt>
                <c:pt idx="88">
                  <c:v>2.3199999999999963</c:v>
                </c:pt>
                <c:pt idx="89">
                  <c:v>2.3349999999999964</c:v>
                </c:pt>
                <c:pt idx="90">
                  <c:v>2.3499999999999965</c:v>
                </c:pt>
                <c:pt idx="91">
                  <c:v>2.3649999999999967</c:v>
                </c:pt>
                <c:pt idx="92">
                  <c:v>2.3799999999999968</c:v>
                </c:pt>
                <c:pt idx="93">
                  <c:v>2.3949999999999969</c:v>
                </c:pt>
                <c:pt idx="94">
                  <c:v>2.409999999999997</c:v>
                </c:pt>
                <c:pt idx="95">
                  <c:v>2.4249999999999972</c:v>
                </c:pt>
                <c:pt idx="96">
                  <c:v>2.4399999999999973</c:v>
                </c:pt>
                <c:pt idx="97">
                  <c:v>2.4549999999999974</c:v>
                </c:pt>
                <c:pt idx="98">
                  <c:v>2.4699999999999975</c:v>
                </c:pt>
                <c:pt idx="99">
                  <c:v>2.4849999999999977</c:v>
                </c:pt>
                <c:pt idx="100">
                  <c:v>2.4999999999999978</c:v>
                </c:pt>
                <c:pt idx="101">
                  <c:v>2.5149999999999979</c:v>
                </c:pt>
                <c:pt idx="102">
                  <c:v>2.529999999999998</c:v>
                </c:pt>
                <c:pt idx="103">
                  <c:v>2.5449999999999982</c:v>
                </c:pt>
                <c:pt idx="104">
                  <c:v>2.5599999999999983</c:v>
                </c:pt>
                <c:pt idx="105">
                  <c:v>2.5749999999999984</c:v>
                </c:pt>
                <c:pt idx="106">
                  <c:v>2.5899999999999985</c:v>
                </c:pt>
                <c:pt idx="107">
                  <c:v>2.6049999999999986</c:v>
                </c:pt>
                <c:pt idx="108">
                  <c:v>2.6199999999999988</c:v>
                </c:pt>
                <c:pt idx="109">
                  <c:v>2.6349999999999989</c:v>
                </c:pt>
                <c:pt idx="110">
                  <c:v>2.649999999999999</c:v>
                </c:pt>
                <c:pt idx="111">
                  <c:v>2.6649999999999991</c:v>
                </c:pt>
                <c:pt idx="112">
                  <c:v>2.6799999999999993</c:v>
                </c:pt>
                <c:pt idx="113">
                  <c:v>2.6949999999999994</c:v>
                </c:pt>
                <c:pt idx="114">
                  <c:v>2.7099999999999995</c:v>
                </c:pt>
                <c:pt idx="115">
                  <c:v>2.7249999999999996</c:v>
                </c:pt>
                <c:pt idx="116">
                  <c:v>2.7399999999999998</c:v>
                </c:pt>
                <c:pt idx="117">
                  <c:v>2.7549999999999999</c:v>
                </c:pt>
                <c:pt idx="118">
                  <c:v>2.77</c:v>
                </c:pt>
                <c:pt idx="119">
                  <c:v>2.7850000000000001</c:v>
                </c:pt>
                <c:pt idx="120">
                  <c:v>2.8000000000000003</c:v>
                </c:pt>
                <c:pt idx="121">
                  <c:v>2.8150000000000004</c:v>
                </c:pt>
                <c:pt idx="122">
                  <c:v>2.8300000000000005</c:v>
                </c:pt>
                <c:pt idx="123">
                  <c:v>2.8450000000000006</c:v>
                </c:pt>
                <c:pt idx="124">
                  <c:v>2.8600000000000008</c:v>
                </c:pt>
                <c:pt idx="125">
                  <c:v>2.8750000000000009</c:v>
                </c:pt>
                <c:pt idx="126">
                  <c:v>2.890000000000001</c:v>
                </c:pt>
                <c:pt idx="127">
                  <c:v>2.9050000000000011</c:v>
                </c:pt>
                <c:pt idx="128">
                  <c:v>2.9200000000000013</c:v>
                </c:pt>
                <c:pt idx="129">
                  <c:v>2.9350000000000014</c:v>
                </c:pt>
                <c:pt idx="130">
                  <c:v>2.9500000000000015</c:v>
                </c:pt>
                <c:pt idx="131">
                  <c:v>2.9650000000000016</c:v>
                </c:pt>
                <c:pt idx="132">
                  <c:v>2.9800000000000018</c:v>
                </c:pt>
                <c:pt idx="133">
                  <c:v>2.9950000000000019</c:v>
                </c:pt>
                <c:pt idx="134">
                  <c:v>3.010000000000002</c:v>
                </c:pt>
                <c:pt idx="135">
                  <c:v>3.0250000000000021</c:v>
                </c:pt>
                <c:pt idx="136">
                  <c:v>3.0400000000000023</c:v>
                </c:pt>
                <c:pt idx="137">
                  <c:v>3.0550000000000024</c:v>
                </c:pt>
                <c:pt idx="138">
                  <c:v>3.0700000000000025</c:v>
                </c:pt>
                <c:pt idx="139">
                  <c:v>3.0850000000000026</c:v>
                </c:pt>
                <c:pt idx="140">
                  <c:v>3.1000000000000028</c:v>
                </c:pt>
                <c:pt idx="141">
                  <c:v>3.1150000000000029</c:v>
                </c:pt>
                <c:pt idx="142">
                  <c:v>3.130000000000003</c:v>
                </c:pt>
                <c:pt idx="143">
                  <c:v>3.1450000000000031</c:v>
                </c:pt>
                <c:pt idx="144">
                  <c:v>3.1600000000000033</c:v>
                </c:pt>
                <c:pt idx="145">
                  <c:v>3.1750000000000034</c:v>
                </c:pt>
                <c:pt idx="146">
                  <c:v>3.1900000000000035</c:v>
                </c:pt>
                <c:pt idx="147">
                  <c:v>3.2050000000000036</c:v>
                </c:pt>
                <c:pt idx="148">
                  <c:v>3.2200000000000037</c:v>
                </c:pt>
                <c:pt idx="149">
                  <c:v>3.2350000000000039</c:v>
                </c:pt>
                <c:pt idx="150">
                  <c:v>3.250000000000004</c:v>
                </c:pt>
                <c:pt idx="151">
                  <c:v>3.2650000000000041</c:v>
                </c:pt>
                <c:pt idx="152">
                  <c:v>3.2800000000000042</c:v>
                </c:pt>
                <c:pt idx="153">
                  <c:v>3.2950000000000044</c:v>
                </c:pt>
                <c:pt idx="154">
                  <c:v>3.3100000000000045</c:v>
                </c:pt>
                <c:pt idx="155">
                  <c:v>3.3250000000000046</c:v>
                </c:pt>
                <c:pt idx="156">
                  <c:v>3.3400000000000047</c:v>
                </c:pt>
                <c:pt idx="157">
                  <c:v>3.3550000000000049</c:v>
                </c:pt>
                <c:pt idx="158">
                  <c:v>3.370000000000005</c:v>
                </c:pt>
                <c:pt idx="159">
                  <c:v>3.3850000000000051</c:v>
                </c:pt>
                <c:pt idx="160">
                  <c:v>3.4000000000000052</c:v>
                </c:pt>
                <c:pt idx="161">
                  <c:v>3.4150000000000054</c:v>
                </c:pt>
                <c:pt idx="162">
                  <c:v>3.4300000000000055</c:v>
                </c:pt>
                <c:pt idx="163">
                  <c:v>3.4450000000000056</c:v>
                </c:pt>
                <c:pt idx="164">
                  <c:v>3.4600000000000057</c:v>
                </c:pt>
                <c:pt idx="165">
                  <c:v>3.4750000000000059</c:v>
                </c:pt>
                <c:pt idx="166">
                  <c:v>3.490000000000006</c:v>
                </c:pt>
                <c:pt idx="167">
                  <c:v>3.5050000000000061</c:v>
                </c:pt>
                <c:pt idx="168">
                  <c:v>3.5200000000000062</c:v>
                </c:pt>
                <c:pt idx="169">
                  <c:v>3.5350000000000064</c:v>
                </c:pt>
                <c:pt idx="170">
                  <c:v>3.5500000000000065</c:v>
                </c:pt>
                <c:pt idx="171">
                  <c:v>3.5650000000000066</c:v>
                </c:pt>
                <c:pt idx="172">
                  <c:v>3.5800000000000067</c:v>
                </c:pt>
                <c:pt idx="173">
                  <c:v>3.5950000000000069</c:v>
                </c:pt>
                <c:pt idx="174">
                  <c:v>3.610000000000007</c:v>
                </c:pt>
                <c:pt idx="175">
                  <c:v>3.6250000000000071</c:v>
                </c:pt>
                <c:pt idx="176">
                  <c:v>3.6400000000000072</c:v>
                </c:pt>
                <c:pt idx="177">
                  <c:v>3.6550000000000074</c:v>
                </c:pt>
                <c:pt idx="178">
                  <c:v>3.6700000000000075</c:v>
                </c:pt>
                <c:pt idx="179">
                  <c:v>3.6850000000000076</c:v>
                </c:pt>
                <c:pt idx="180">
                  <c:v>3.7000000000000077</c:v>
                </c:pt>
                <c:pt idx="181">
                  <c:v>3.7150000000000079</c:v>
                </c:pt>
                <c:pt idx="182">
                  <c:v>3.730000000000008</c:v>
                </c:pt>
                <c:pt idx="183">
                  <c:v>3.7450000000000081</c:v>
                </c:pt>
                <c:pt idx="184">
                  <c:v>3.7600000000000082</c:v>
                </c:pt>
                <c:pt idx="185">
                  <c:v>3.7750000000000083</c:v>
                </c:pt>
                <c:pt idx="186">
                  <c:v>3.7900000000000085</c:v>
                </c:pt>
                <c:pt idx="187">
                  <c:v>3.8050000000000086</c:v>
                </c:pt>
                <c:pt idx="188">
                  <c:v>3.8200000000000087</c:v>
                </c:pt>
                <c:pt idx="189">
                  <c:v>3.8350000000000088</c:v>
                </c:pt>
                <c:pt idx="190">
                  <c:v>3.850000000000009</c:v>
                </c:pt>
                <c:pt idx="191">
                  <c:v>3.8650000000000091</c:v>
                </c:pt>
                <c:pt idx="192">
                  <c:v>3.8800000000000092</c:v>
                </c:pt>
                <c:pt idx="193">
                  <c:v>3.8950000000000093</c:v>
                </c:pt>
                <c:pt idx="194">
                  <c:v>3.9100000000000095</c:v>
                </c:pt>
                <c:pt idx="195">
                  <c:v>3.9250000000000096</c:v>
                </c:pt>
                <c:pt idx="196">
                  <c:v>3.9400000000000097</c:v>
                </c:pt>
                <c:pt idx="197">
                  <c:v>3.9550000000000098</c:v>
                </c:pt>
                <c:pt idx="198">
                  <c:v>3.97000000000001</c:v>
                </c:pt>
                <c:pt idx="199">
                  <c:v>3.9850000000000101</c:v>
                </c:pt>
                <c:pt idx="200">
                  <c:v>4.0000000000000098</c:v>
                </c:pt>
              </c:numCache>
            </c:numRef>
          </c:xVal>
          <c:yVal>
            <c:numRef>
              <c:f>'Trapezoidal Rule'!$L$4:$L$203</c:f>
              <c:numCache>
                <c:formatCode>General</c:formatCode>
                <c:ptCount val="200"/>
                <c:pt idx="0">
                  <c:v>1</c:v>
                </c:pt>
                <c:pt idx="1">
                  <c:v>1.0302249999999997</c:v>
                </c:pt>
                <c:pt idx="2">
                  <c:v>1.0608999999999995</c:v>
                </c:pt>
                <c:pt idx="3">
                  <c:v>1.0920249999999994</c:v>
                </c:pt>
                <c:pt idx="4">
                  <c:v>1.1235999999999993</c:v>
                </c:pt>
                <c:pt idx="5">
                  <c:v>1.155624999999999</c:v>
                </c:pt>
                <c:pt idx="6">
                  <c:v>1.1880999999999988</c:v>
                </c:pt>
                <c:pt idx="7">
                  <c:v>1.2210249999999985</c:v>
                </c:pt>
                <c:pt idx="8">
                  <c:v>1.2543999999999982</c:v>
                </c:pt>
                <c:pt idx="9">
                  <c:v>1.288224999999998</c:v>
                </c:pt>
                <c:pt idx="10">
                  <c:v>1.3224999999999978</c:v>
                </c:pt>
                <c:pt idx="11">
                  <c:v>1.3572249999999975</c:v>
                </c:pt>
                <c:pt idx="12">
                  <c:v>1.3923999999999972</c:v>
                </c:pt>
                <c:pt idx="13">
                  <c:v>1.428024999999997</c:v>
                </c:pt>
                <c:pt idx="14">
                  <c:v>1.4640999999999966</c:v>
                </c:pt>
                <c:pt idx="15">
                  <c:v>1.5006249999999963</c:v>
                </c:pt>
                <c:pt idx="16">
                  <c:v>1.5375999999999961</c:v>
                </c:pt>
                <c:pt idx="17">
                  <c:v>1.5750249999999959</c:v>
                </c:pt>
                <c:pt idx="18">
                  <c:v>1.6128999999999956</c:v>
                </c:pt>
                <c:pt idx="19">
                  <c:v>1.6512249999999953</c:v>
                </c:pt>
                <c:pt idx="20">
                  <c:v>1.6899999999999948</c:v>
                </c:pt>
                <c:pt idx="21">
                  <c:v>1.7292249999999947</c:v>
                </c:pt>
                <c:pt idx="22">
                  <c:v>1.7688999999999944</c:v>
                </c:pt>
                <c:pt idx="23">
                  <c:v>1.8090249999999939</c:v>
                </c:pt>
                <c:pt idx="24">
                  <c:v>1.8495999999999937</c:v>
                </c:pt>
                <c:pt idx="25">
                  <c:v>1.8906249999999933</c:v>
                </c:pt>
                <c:pt idx="26">
                  <c:v>1.932099999999993</c:v>
                </c:pt>
                <c:pt idx="27">
                  <c:v>1.9740249999999926</c:v>
                </c:pt>
                <c:pt idx="28">
                  <c:v>2.0163999999999924</c:v>
                </c:pt>
                <c:pt idx="29">
                  <c:v>2.0592249999999921</c:v>
                </c:pt>
                <c:pt idx="30">
                  <c:v>2.1024999999999916</c:v>
                </c:pt>
                <c:pt idx="31">
                  <c:v>2.1462249999999909</c:v>
                </c:pt>
                <c:pt idx="32">
                  <c:v>2.1903999999999906</c:v>
                </c:pt>
                <c:pt idx="33">
                  <c:v>2.2350249999999905</c:v>
                </c:pt>
                <c:pt idx="34">
                  <c:v>2.2800999999999898</c:v>
                </c:pt>
                <c:pt idx="35">
                  <c:v>2.3256249999999894</c:v>
                </c:pt>
                <c:pt idx="36">
                  <c:v>2.3715999999999893</c:v>
                </c:pt>
                <c:pt idx="37">
                  <c:v>2.4180249999999885</c:v>
                </c:pt>
                <c:pt idx="38">
                  <c:v>2.4648999999999885</c:v>
                </c:pt>
                <c:pt idx="39">
                  <c:v>2.5122249999999879</c:v>
                </c:pt>
                <c:pt idx="40">
                  <c:v>2.5599999999999876</c:v>
                </c:pt>
                <c:pt idx="41">
                  <c:v>2.6082249999999871</c:v>
                </c:pt>
                <c:pt idx="42">
                  <c:v>2.6568999999999865</c:v>
                </c:pt>
                <c:pt idx="43">
                  <c:v>2.7060249999999861</c:v>
                </c:pt>
                <c:pt idx="44">
                  <c:v>2.7555999999999856</c:v>
                </c:pt>
                <c:pt idx="45">
                  <c:v>2.8056249999999854</c:v>
                </c:pt>
                <c:pt idx="46">
                  <c:v>2.856099999999985</c:v>
                </c:pt>
                <c:pt idx="47">
                  <c:v>2.9070249999999844</c:v>
                </c:pt>
                <c:pt idx="48">
                  <c:v>2.9583999999999837</c:v>
                </c:pt>
                <c:pt idx="49">
                  <c:v>3.0102249999999833</c:v>
                </c:pt>
                <c:pt idx="50">
                  <c:v>3.0624999999999831</c:v>
                </c:pt>
                <c:pt idx="51">
                  <c:v>3.1152249999999824</c:v>
                </c:pt>
                <c:pt idx="52">
                  <c:v>3.1683999999999819</c:v>
                </c:pt>
                <c:pt idx="53">
                  <c:v>3.2220249999999813</c:v>
                </c:pt>
                <c:pt idx="54">
                  <c:v>3.2760999999999809</c:v>
                </c:pt>
                <c:pt idx="55">
                  <c:v>3.3306249999999804</c:v>
                </c:pt>
                <c:pt idx="56">
                  <c:v>3.3855999999999797</c:v>
                </c:pt>
                <c:pt idx="57">
                  <c:v>3.4410249999999794</c:v>
                </c:pt>
                <c:pt idx="58">
                  <c:v>3.4968999999999788</c:v>
                </c:pt>
                <c:pt idx="59">
                  <c:v>3.5532249999999781</c:v>
                </c:pt>
                <c:pt idx="60">
                  <c:v>3.6099999999999777</c:v>
                </c:pt>
                <c:pt idx="61">
                  <c:v>3.6672249999999771</c:v>
                </c:pt>
                <c:pt idx="62">
                  <c:v>3.7248999999999768</c:v>
                </c:pt>
                <c:pt idx="63">
                  <c:v>3.7830249999999759</c:v>
                </c:pt>
                <c:pt idx="64">
                  <c:v>3.8415999999999757</c:v>
                </c:pt>
                <c:pt idx="65">
                  <c:v>3.9006249999999749</c:v>
                </c:pt>
                <c:pt idx="66">
                  <c:v>3.9600999999999744</c:v>
                </c:pt>
                <c:pt idx="67">
                  <c:v>4.0200249999999746</c:v>
                </c:pt>
                <c:pt idx="68">
                  <c:v>4.0803999999999752</c:v>
                </c:pt>
                <c:pt idx="69">
                  <c:v>4.1412249999999755</c:v>
                </c:pt>
                <c:pt idx="70">
                  <c:v>4.2024999999999757</c:v>
                </c:pt>
                <c:pt idx="71">
                  <c:v>4.2642249999999757</c:v>
                </c:pt>
                <c:pt idx="72">
                  <c:v>4.3263999999999765</c:v>
                </c:pt>
                <c:pt idx="73">
                  <c:v>4.3890249999999762</c:v>
                </c:pt>
                <c:pt idx="74">
                  <c:v>4.4520999999999766</c:v>
                </c:pt>
                <c:pt idx="75">
                  <c:v>4.5156249999999769</c:v>
                </c:pt>
                <c:pt idx="76">
                  <c:v>4.5795999999999779</c:v>
                </c:pt>
                <c:pt idx="77">
                  <c:v>4.6440249999999779</c:v>
                </c:pt>
                <c:pt idx="78">
                  <c:v>4.7088999999999785</c:v>
                </c:pt>
                <c:pt idx="79">
                  <c:v>4.7742249999999791</c:v>
                </c:pt>
                <c:pt idx="80">
                  <c:v>4.8399999999999794</c:v>
                </c:pt>
                <c:pt idx="81">
                  <c:v>4.9062249999999796</c:v>
                </c:pt>
                <c:pt idx="82">
                  <c:v>4.9728999999999806</c:v>
                </c:pt>
                <c:pt idx="83">
                  <c:v>5.0400249999999804</c:v>
                </c:pt>
                <c:pt idx="84">
                  <c:v>5.107599999999981</c:v>
                </c:pt>
                <c:pt idx="85">
                  <c:v>5.1756249999999815</c:v>
                </c:pt>
                <c:pt idx="86">
                  <c:v>5.2440999999999818</c:v>
                </c:pt>
                <c:pt idx="87">
                  <c:v>5.3130249999999819</c:v>
                </c:pt>
                <c:pt idx="88">
                  <c:v>5.3823999999999828</c:v>
                </c:pt>
                <c:pt idx="89">
                  <c:v>5.4522249999999834</c:v>
                </c:pt>
                <c:pt idx="90">
                  <c:v>5.522499999999984</c:v>
                </c:pt>
                <c:pt idx="91">
                  <c:v>5.5932249999999843</c:v>
                </c:pt>
                <c:pt idx="92">
                  <c:v>5.6643999999999846</c:v>
                </c:pt>
                <c:pt idx="93">
                  <c:v>5.7360249999999855</c:v>
                </c:pt>
                <c:pt idx="94">
                  <c:v>5.8080999999999854</c:v>
                </c:pt>
                <c:pt idx="95">
                  <c:v>5.880624999999986</c:v>
                </c:pt>
                <c:pt idx="96">
                  <c:v>5.9535999999999865</c:v>
                </c:pt>
                <c:pt idx="97">
                  <c:v>6.0270249999999876</c:v>
                </c:pt>
                <c:pt idx="98">
                  <c:v>6.1008999999999878</c:v>
                </c:pt>
                <c:pt idx="99">
                  <c:v>6.1752249999999886</c:v>
                </c:pt>
                <c:pt idx="100">
                  <c:v>6.2499999999999893</c:v>
                </c:pt>
                <c:pt idx="101">
                  <c:v>6.3252249999999899</c:v>
                </c:pt>
                <c:pt idx="102">
                  <c:v>6.4008999999999903</c:v>
                </c:pt>
                <c:pt idx="103">
                  <c:v>6.4770249999999905</c:v>
                </c:pt>
                <c:pt idx="104">
                  <c:v>6.5535999999999914</c:v>
                </c:pt>
                <c:pt idx="105">
                  <c:v>6.6306249999999913</c:v>
                </c:pt>
                <c:pt idx="106">
                  <c:v>6.708099999999992</c:v>
                </c:pt>
                <c:pt idx="107">
                  <c:v>6.7860249999999933</c:v>
                </c:pt>
                <c:pt idx="108">
                  <c:v>6.8643999999999936</c:v>
                </c:pt>
                <c:pt idx="109">
                  <c:v>6.9432249999999938</c:v>
                </c:pt>
                <c:pt idx="110">
                  <c:v>7.0224999999999946</c:v>
                </c:pt>
                <c:pt idx="111">
                  <c:v>7.1022249999999953</c:v>
                </c:pt>
                <c:pt idx="112">
                  <c:v>7.1823999999999959</c:v>
                </c:pt>
                <c:pt idx="113">
                  <c:v>7.2630249999999972</c:v>
                </c:pt>
                <c:pt idx="114">
                  <c:v>7.3440999999999974</c:v>
                </c:pt>
                <c:pt idx="115">
                  <c:v>7.4256249999999984</c:v>
                </c:pt>
                <c:pt idx="116">
                  <c:v>7.5075999999999992</c:v>
                </c:pt>
                <c:pt idx="117">
                  <c:v>7.5900249999999998</c:v>
                </c:pt>
                <c:pt idx="118">
                  <c:v>7.6729000000000003</c:v>
                </c:pt>
                <c:pt idx="119">
                  <c:v>7.7562250000000006</c:v>
                </c:pt>
                <c:pt idx="120">
                  <c:v>7.8400000000000016</c:v>
                </c:pt>
                <c:pt idx="121">
                  <c:v>7.9242250000000025</c:v>
                </c:pt>
                <c:pt idx="122">
                  <c:v>8.0089000000000024</c:v>
                </c:pt>
                <c:pt idx="123">
                  <c:v>8.0940250000000038</c:v>
                </c:pt>
                <c:pt idx="124">
                  <c:v>8.1796000000000042</c:v>
                </c:pt>
                <c:pt idx="125">
                  <c:v>8.2656250000000053</c:v>
                </c:pt>
                <c:pt idx="126">
                  <c:v>8.3521000000000054</c:v>
                </c:pt>
                <c:pt idx="127">
                  <c:v>8.4390250000000062</c:v>
                </c:pt>
                <c:pt idx="128">
                  <c:v>8.5264000000000078</c:v>
                </c:pt>
                <c:pt idx="129">
                  <c:v>8.6142250000000082</c:v>
                </c:pt>
                <c:pt idx="130">
                  <c:v>8.7025000000000095</c:v>
                </c:pt>
                <c:pt idx="131">
                  <c:v>8.7912250000000096</c:v>
                </c:pt>
                <c:pt idx="132">
                  <c:v>8.8804000000000105</c:v>
                </c:pt>
                <c:pt idx="133">
                  <c:v>8.9700250000000121</c:v>
                </c:pt>
                <c:pt idx="134">
                  <c:v>9.0601000000000127</c:v>
                </c:pt>
                <c:pt idx="135">
                  <c:v>9.1506250000000122</c:v>
                </c:pt>
                <c:pt idx="136">
                  <c:v>9.2416000000000142</c:v>
                </c:pt>
                <c:pt idx="137">
                  <c:v>9.3330250000000152</c:v>
                </c:pt>
                <c:pt idx="138">
                  <c:v>9.4249000000000152</c:v>
                </c:pt>
                <c:pt idx="139">
                  <c:v>9.5172250000000158</c:v>
                </c:pt>
                <c:pt idx="140">
                  <c:v>9.6100000000000172</c:v>
                </c:pt>
                <c:pt idx="141">
                  <c:v>9.7032250000000175</c:v>
                </c:pt>
                <c:pt idx="142">
                  <c:v>9.7969000000000186</c:v>
                </c:pt>
                <c:pt idx="143">
                  <c:v>9.8910250000000204</c:v>
                </c:pt>
                <c:pt idx="144">
                  <c:v>9.9856000000000211</c:v>
                </c:pt>
                <c:pt idx="145">
                  <c:v>10.080625000000021</c:v>
                </c:pt>
                <c:pt idx="146">
                  <c:v>10.176100000000023</c:v>
                </c:pt>
                <c:pt idx="147">
                  <c:v>10.272025000000022</c:v>
                </c:pt>
                <c:pt idx="148">
                  <c:v>10.368400000000024</c:v>
                </c:pt>
                <c:pt idx="149">
                  <c:v>10.465225000000025</c:v>
                </c:pt>
                <c:pt idx="150">
                  <c:v>10.562500000000027</c:v>
                </c:pt>
                <c:pt idx="151">
                  <c:v>10.660225000000027</c:v>
                </c:pt>
                <c:pt idx="152">
                  <c:v>10.758400000000028</c:v>
                </c:pt>
                <c:pt idx="153">
                  <c:v>10.857025000000029</c:v>
                </c:pt>
                <c:pt idx="154">
                  <c:v>10.956100000000029</c:v>
                </c:pt>
                <c:pt idx="155">
                  <c:v>11.055625000000031</c:v>
                </c:pt>
                <c:pt idx="156">
                  <c:v>11.155600000000032</c:v>
                </c:pt>
                <c:pt idx="157">
                  <c:v>11.256025000000033</c:v>
                </c:pt>
                <c:pt idx="158">
                  <c:v>11.356900000000033</c:v>
                </c:pt>
                <c:pt idx="159">
                  <c:v>11.458225000000034</c:v>
                </c:pt>
                <c:pt idx="160">
                  <c:v>11.560000000000036</c:v>
                </c:pt>
                <c:pt idx="161">
                  <c:v>11.662225000000037</c:v>
                </c:pt>
                <c:pt idx="162">
                  <c:v>11.764900000000038</c:v>
                </c:pt>
                <c:pt idx="163">
                  <c:v>11.868025000000038</c:v>
                </c:pt>
                <c:pt idx="164">
                  <c:v>11.97160000000004</c:v>
                </c:pt>
                <c:pt idx="165">
                  <c:v>12.075625000000041</c:v>
                </c:pt>
                <c:pt idx="166">
                  <c:v>12.180100000000042</c:v>
                </c:pt>
                <c:pt idx="167">
                  <c:v>12.285025000000044</c:v>
                </c:pt>
                <c:pt idx="168">
                  <c:v>12.390400000000044</c:v>
                </c:pt>
                <c:pt idx="169">
                  <c:v>12.496225000000045</c:v>
                </c:pt>
                <c:pt idx="170">
                  <c:v>12.602500000000045</c:v>
                </c:pt>
                <c:pt idx="171">
                  <c:v>12.709225000000048</c:v>
                </c:pt>
                <c:pt idx="172">
                  <c:v>12.816400000000048</c:v>
                </c:pt>
                <c:pt idx="173">
                  <c:v>12.92402500000005</c:v>
                </c:pt>
                <c:pt idx="174">
                  <c:v>13.03210000000005</c:v>
                </c:pt>
                <c:pt idx="175">
                  <c:v>13.140625000000052</c:v>
                </c:pt>
                <c:pt idx="176">
                  <c:v>13.249600000000052</c:v>
                </c:pt>
                <c:pt idx="177">
                  <c:v>13.359025000000054</c:v>
                </c:pt>
                <c:pt idx="178">
                  <c:v>13.468900000000055</c:v>
                </c:pt>
                <c:pt idx="179">
                  <c:v>13.579225000000056</c:v>
                </c:pt>
                <c:pt idx="180">
                  <c:v>13.690000000000056</c:v>
                </c:pt>
                <c:pt idx="181">
                  <c:v>13.801225000000059</c:v>
                </c:pt>
                <c:pt idx="182">
                  <c:v>13.912900000000059</c:v>
                </c:pt>
                <c:pt idx="183">
                  <c:v>14.02502500000006</c:v>
                </c:pt>
                <c:pt idx="184">
                  <c:v>14.137600000000061</c:v>
                </c:pt>
                <c:pt idx="185">
                  <c:v>14.250625000000063</c:v>
                </c:pt>
                <c:pt idx="186">
                  <c:v>14.364100000000064</c:v>
                </c:pt>
                <c:pt idx="187">
                  <c:v>14.478025000000066</c:v>
                </c:pt>
                <c:pt idx="188">
                  <c:v>14.592400000000067</c:v>
                </c:pt>
                <c:pt idx="189">
                  <c:v>14.707225000000069</c:v>
                </c:pt>
                <c:pt idx="190">
                  <c:v>14.822500000000069</c:v>
                </c:pt>
                <c:pt idx="191">
                  <c:v>14.93822500000007</c:v>
                </c:pt>
                <c:pt idx="192">
                  <c:v>15.054400000000072</c:v>
                </c:pt>
                <c:pt idx="193">
                  <c:v>15.171025000000073</c:v>
                </c:pt>
                <c:pt idx="194">
                  <c:v>15.288100000000075</c:v>
                </c:pt>
                <c:pt idx="195">
                  <c:v>15.405625000000075</c:v>
                </c:pt>
                <c:pt idx="196">
                  <c:v>15.523600000000076</c:v>
                </c:pt>
                <c:pt idx="197">
                  <c:v>15.642025000000078</c:v>
                </c:pt>
                <c:pt idx="198">
                  <c:v>15.760900000000079</c:v>
                </c:pt>
                <c:pt idx="199">
                  <c:v>15.880225000000081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88-470E-A6CA-7B216694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720680"/>
        <c:axId val="789712808"/>
      </c:scatterChart>
      <c:valAx>
        <c:axId val="7897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12808"/>
        <c:crosses val="autoZero"/>
        <c:crossBetween val="midCat"/>
      </c:valAx>
      <c:valAx>
        <c:axId val="78971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206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1-3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Rule'!$G$4:$G$6</c:f>
              <c:numCache>
                <c:formatCode>General</c:formatCode>
                <c:ptCount val="3"/>
                <c:pt idx="0">
                  <c:v>1</c:v>
                </c:pt>
                <c:pt idx="1">
                  <c:v>1.375</c:v>
                </c:pt>
                <c:pt idx="2">
                  <c:v>1.75</c:v>
                </c:pt>
              </c:numCache>
            </c:numRef>
          </c:xVal>
          <c:yVal>
            <c:numRef>
              <c:f>'Simpson''s Rule'!$H$4:$H$6</c:f>
              <c:numCache>
                <c:formatCode>General</c:formatCode>
                <c:ptCount val="3"/>
                <c:pt idx="0">
                  <c:v>1</c:v>
                </c:pt>
                <c:pt idx="1">
                  <c:v>1.890625</c:v>
                </c:pt>
                <c:pt idx="2">
                  <c:v>3.0625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2B-4033-AC1A-9C66239E4FF0}"/>
            </c:ext>
          </c:extLst>
        </c:ser>
        <c:ser>
          <c:idx val="1"/>
          <c:order val="1"/>
          <c:tx>
            <c:v>4-Feb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Rule'!$G$5:$G$7</c:f>
              <c:numCache>
                <c:formatCode>General</c:formatCode>
                <c:ptCount val="3"/>
                <c:pt idx="0">
                  <c:v>1.375</c:v>
                </c:pt>
                <c:pt idx="1">
                  <c:v>1.75</c:v>
                </c:pt>
                <c:pt idx="2">
                  <c:v>2.125</c:v>
                </c:pt>
              </c:numCache>
            </c:numRef>
          </c:xVal>
          <c:yVal>
            <c:numRef>
              <c:f>'Simpson''s Rule'!$H$5:$H$7</c:f>
              <c:numCache>
                <c:formatCode>General</c:formatCode>
                <c:ptCount val="3"/>
                <c:pt idx="0">
                  <c:v>1.890625</c:v>
                </c:pt>
                <c:pt idx="1">
                  <c:v>3.0625</c:v>
                </c:pt>
                <c:pt idx="2">
                  <c:v>4.515625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2B-4033-AC1A-9C66239E4FF0}"/>
            </c:ext>
          </c:extLst>
        </c:ser>
        <c:ser>
          <c:idx val="2"/>
          <c:order val="2"/>
          <c:tx>
            <c:v>3 5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Rule'!$G$6:$G$8</c:f>
              <c:numCache>
                <c:formatCode>General</c:formatCode>
                <c:ptCount val="3"/>
                <c:pt idx="0">
                  <c:v>1.75</c:v>
                </c:pt>
                <c:pt idx="1">
                  <c:v>2.125</c:v>
                </c:pt>
                <c:pt idx="2">
                  <c:v>2.5</c:v>
                </c:pt>
              </c:numCache>
            </c:numRef>
          </c:xVal>
          <c:yVal>
            <c:numRef>
              <c:f>'Simpson''s Rule'!$H$6:$H$8</c:f>
              <c:numCache>
                <c:formatCode>General</c:formatCode>
                <c:ptCount val="3"/>
                <c:pt idx="0">
                  <c:v>3.0625</c:v>
                </c:pt>
                <c:pt idx="1">
                  <c:v>4.515625</c:v>
                </c:pt>
                <c:pt idx="2">
                  <c:v>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92B-4033-AC1A-9C66239E4FF0}"/>
            </c:ext>
          </c:extLst>
        </c:ser>
        <c:ser>
          <c:idx val="3"/>
          <c:order val="3"/>
          <c:tx>
            <c:v> 4 6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Rule'!$G$7:$G$9</c:f>
              <c:numCache>
                <c:formatCode>General</c:formatCode>
                <c:ptCount val="3"/>
                <c:pt idx="0">
                  <c:v>2.125</c:v>
                </c:pt>
                <c:pt idx="1">
                  <c:v>2.5</c:v>
                </c:pt>
                <c:pt idx="2">
                  <c:v>2.875</c:v>
                </c:pt>
              </c:numCache>
            </c:numRef>
          </c:xVal>
          <c:yVal>
            <c:numRef>
              <c:f>'Simpson''s Rule'!$H$7:$H$9</c:f>
              <c:numCache>
                <c:formatCode>General</c:formatCode>
                <c:ptCount val="3"/>
                <c:pt idx="0">
                  <c:v>4.515625</c:v>
                </c:pt>
                <c:pt idx="1">
                  <c:v>6.25</c:v>
                </c:pt>
                <c:pt idx="2">
                  <c:v>8.265625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92B-4033-AC1A-9C66239E4FF0}"/>
            </c:ext>
          </c:extLst>
        </c:ser>
        <c:ser>
          <c:idx val="4"/>
          <c:order val="4"/>
          <c:tx>
            <c:v>5 7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Rule'!$G$8:$G$10</c:f>
              <c:numCache>
                <c:formatCode>General</c:formatCode>
                <c:ptCount val="3"/>
                <c:pt idx="0">
                  <c:v>2.5</c:v>
                </c:pt>
                <c:pt idx="1">
                  <c:v>2.875</c:v>
                </c:pt>
                <c:pt idx="2">
                  <c:v>3.25</c:v>
                </c:pt>
              </c:numCache>
            </c:numRef>
          </c:xVal>
          <c:yVal>
            <c:numRef>
              <c:f>'Simpson''s Rule'!$H$8:$H$10</c:f>
              <c:numCache>
                <c:formatCode>General</c:formatCode>
                <c:ptCount val="3"/>
                <c:pt idx="0">
                  <c:v>6.25</c:v>
                </c:pt>
                <c:pt idx="1">
                  <c:v>8.265625</c:v>
                </c:pt>
                <c:pt idx="2">
                  <c:v>10.5625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92B-4033-AC1A-9C66239E4FF0}"/>
            </c:ext>
          </c:extLst>
        </c:ser>
        <c:ser>
          <c:idx val="5"/>
          <c:order val="5"/>
          <c:tx>
            <c:v>6 8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Rule'!$G$9:$G$11</c:f>
              <c:numCache>
                <c:formatCode>General</c:formatCode>
                <c:ptCount val="3"/>
                <c:pt idx="0">
                  <c:v>2.875</c:v>
                </c:pt>
                <c:pt idx="1">
                  <c:v>3.25</c:v>
                </c:pt>
                <c:pt idx="2">
                  <c:v>3.625</c:v>
                </c:pt>
              </c:numCache>
            </c:numRef>
          </c:xVal>
          <c:yVal>
            <c:numRef>
              <c:f>'Simpson''s Rule'!$H$9:$H$11</c:f>
              <c:numCache>
                <c:formatCode>General</c:formatCode>
                <c:ptCount val="3"/>
                <c:pt idx="0">
                  <c:v>8.265625</c:v>
                </c:pt>
                <c:pt idx="1">
                  <c:v>10.5625</c:v>
                </c:pt>
                <c:pt idx="2">
                  <c:v>13.140625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92B-4033-AC1A-9C66239E4FF0}"/>
            </c:ext>
          </c:extLst>
        </c:ser>
        <c:ser>
          <c:idx val="6"/>
          <c:order val="6"/>
          <c:tx>
            <c:v>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Rule'!$G$10:$G$12</c:f>
              <c:numCache>
                <c:formatCode>General</c:formatCode>
                <c:ptCount val="3"/>
                <c:pt idx="0">
                  <c:v>3.25</c:v>
                </c:pt>
                <c:pt idx="1">
                  <c:v>3.625</c:v>
                </c:pt>
                <c:pt idx="2">
                  <c:v>4</c:v>
                </c:pt>
              </c:numCache>
            </c:numRef>
          </c:xVal>
          <c:yVal>
            <c:numRef>
              <c:f>'Simpson''s Rule'!$H$10:$H$12</c:f>
              <c:numCache>
                <c:formatCode>General</c:formatCode>
                <c:ptCount val="3"/>
                <c:pt idx="0">
                  <c:v>10.5625</c:v>
                </c:pt>
                <c:pt idx="1">
                  <c:v>13.140625</c:v>
                </c:pt>
                <c:pt idx="2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92B-4033-AC1A-9C66239E4FF0}"/>
            </c:ext>
          </c:extLst>
        </c:ser>
        <c:ser>
          <c:idx val="7"/>
          <c:order val="7"/>
          <c:tx>
            <c:v>8+Simpson!$H$11:$H$13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'Simpson''s Rule'!$G$11:$G$13</c:f>
              <c:strCache>
                <c:ptCount val="2"/>
                <c:pt idx="0">
                  <c:v>3.625</c:v>
                </c:pt>
                <c:pt idx="1">
                  <c:v>4</c:v>
                </c:pt>
              </c:strCache>
            </c:strRef>
          </c:xVal>
          <c:yVal>
            <c:numRef>
              <c:f>'Simpson''s Rule'!$H$11:$H$13</c:f>
              <c:numCache>
                <c:formatCode>General</c:formatCode>
                <c:ptCount val="3"/>
                <c:pt idx="0">
                  <c:v>13.140625</c:v>
                </c:pt>
                <c:pt idx="1">
                  <c:v>16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92B-4033-AC1A-9C66239E4FF0}"/>
            </c:ext>
          </c:extLst>
        </c:ser>
        <c:ser>
          <c:idx val="8"/>
          <c:order val="8"/>
          <c:tx>
            <c:v>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'Simpson''s Rule'!$G$12:$G$14</c:f>
              <c:strCache>
                <c:ptCount val="1"/>
                <c:pt idx="0">
                  <c:v>4</c:v>
                </c:pt>
              </c:strCache>
            </c:strRef>
          </c:xVal>
          <c:yVal>
            <c:numRef>
              <c:f>'Simpson''s Rule'!$H$12:$H$14</c:f>
              <c:numCache>
                <c:formatCode>General</c:formatCode>
                <c:ptCount val="3"/>
                <c:pt idx="0">
                  <c:v>16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92B-4033-AC1A-9C66239E4FF0}"/>
            </c:ext>
          </c:extLst>
        </c:ser>
        <c:ser>
          <c:idx val="9"/>
          <c:order val="9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Rule'!$G$13:$G$15</c:f>
            </c:numRef>
          </c:xVal>
          <c:yVal>
            <c:numRef>
              <c:f>'Simpson''s Rule'!$H$13:$H$15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92B-4033-AC1A-9C66239E4FF0}"/>
            </c:ext>
          </c:extLst>
        </c:ser>
        <c:ser>
          <c:idx val="10"/>
          <c:order val="10"/>
          <c:tx>
            <c:v>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Rule'!$G$14:$G$16</c:f>
            </c:numRef>
          </c:xVal>
          <c:yVal>
            <c:numRef>
              <c:f>'Simpson''s Rule'!$H$14:$H$16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92B-4033-AC1A-9C66239E4FF0}"/>
            </c:ext>
          </c:extLst>
        </c:ser>
        <c:ser>
          <c:idx val="11"/>
          <c:order val="11"/>
          <c:tx>
            <c:v>12+Simpson!$G$15:$G$17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Rule'!$G$15:$G$17</c:f>
            </c:numRef>
          </c:xVal>
          <c:yVal>
            <c:numRef>
              <c:f>'Simpson''s Rule'!$H$15:$H$17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92B-4033-AC1A-9C66239E4FF0}"/>
            </c:ext>
          </c:extLst>
        </c:ser>
        <c:ser>
          <c:idx val="12"/>
          <c:order val="12"/>
          <c:tx>
            <c:v>13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Rule'!$G$16:$G$18</c:f>
            </c:numRef>
          </c:xVal>
          <c:yVal>
            <c:numRef>
              <c:f>'Simpson''s Rule'!$H$16:$H$18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92B-4033-AC1A-9C66239E4FF0}"/>
            </c:ext>
          </c:extLst>
        </c:ser>
        <c:ser>
          <c:idx val="13"/>
          <c:order val="13"/>
          <c:tx>
            <c:v>14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Rule'!$G$17:$G$19</c:f>
            </c:numRef>
          </c:xVal>
          <c:yVal>
            <c:numRef>
              <c:f>'Simpson''s Rule'!$H$17:$H$19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92B-4033-AC1A-9C66239E4FF0}"/>
            </c:ext>
          </c:extLst>
        </c:ser>
        <c:ser>
          <c:idx val="14"/>
          <c:order val="14"/>
          <c:tx>
            <c:v>15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Rule'!$G$18:$G$20</c:f>
            </c:numRef>
          </c:xVal>
          <c:yVal>
            <c:numRef>
              <c:f>'Simpson''s Rule'!$H$18:$H$20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92B-4033-AC1A-9C66239E4FF0}"/>
            </c:ext>
          </c:extLst>
        </c:ser>
        <c:ser>
          <c:idx val="15"/>
          <c:order val="15"/>
          <c:tx>
            <c:v>16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Rule'!$G$19:$G$21</c:f>
            </c:numRef>
          </c:xVal>
          <c:yVal>
            <c:numRef>
              <c:f>'Simpson''s Rule'!$H$19:$H$21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92B-4033-AC1A-9C66239E4FF0}"/>
            </c:ext>
          </c:extLst>
        </c:ser>
        <c:ser>
          <c:idx val="16"/>
          <c:order val="16"/>
          <c:tx>
            <c:v>17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Rule'!$G$20:$G$22</c:f>
            </c:numRef>
          </c:xVal>
          <c:yVal>
            <c:numRef>
              <c:f>'Simpson''s Rule'!$H$20:$H$22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92B-4033-AC1A-9C66239E4FF0}"/>
            </c:ext>
          </c:extLst>
        </c:ser>
        <c:ser>
          <c:idx val="17"/>
          <c:order val="17"/>
          <c:tx>
            <c:v>18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Rule'!$G$21:$G$23</c:f>
            </c:numRef>
          </c:xVal>
          <c:yVal>
            <c:numRef>
              <c:f>'Simpson''s Rule'!$H$21:$H$23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92B-4033-AC1A-9C66239E4FF0}"/>
            </c:ext>
          </c:extLst>
        </c:ser>
        <c:ser>
          <c:idx val="18"/>
          <c:order val="18"/>
          <c:tx>
            <c:v>19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Rule'!$G$22:$G$24</c:f>
            </c:numRef>
          </c:xVal>
          <c:yVal>
            <c:numRef>
              <c:f>'Simpson''s Rule'!$H$22:$H$24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92B-4033-AC1A-9C66239E4FF0}"/>
            </c:ext>
          </c:extLst>
        </c:ser>
        <c:ser>
          <c:idx val="19"/>
          <c:order val="19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Rule'!$G$23:$G$25</c:f>
            </c:numRef>
          </c:xVal>
          <c:yVal>
            <c:numRef>
              <c:f>'Simpson''s Rule'!$H$23:$H$25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92B-4033-AC1A-9C66239E4FF0}"/>
            </c:ext>
          </c:extLst>
        </c:ser>
        <c:ser>
          <c:idx val="20"/>
          <c:order val="20"/>
          <c:tx>
            <c:v>21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Rule'!$G$24:$G$26</c:f>
            </c:numRef>
          </c:xVal>
          <c:yVal>
            <c:numRef>
              <c:f>'Simpson''s Rule'!$H$24:$H$26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92B-4033-AC1A-9C66239E4FF0}"/>
            </c:ext>
          </c:extLst>
        </c:ser>
        <c:ser>
          <c:idx val="21"/>
          <c:order val="21"/>
          <c:tx>
            <c:v>22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Rule'!$G$25:$G$27</c:f>
            </c:numRef>
          </c:xVal>
          <c:yVal>
            <c:numRef>
              <c:f>'Simpson''s Rule'!$H$25:$H$27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92B-4033-AC1A-9C66239E4FF0}"/>
            </c:ext>
          </c:extLst>
        </c:ser>
        <c:ser>
          <c:idx val="22"/>
          <c:order val="22"/>
          <c:tx>
            <c:v>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Rule'!$G$26:$G$28</c:f>
            </c:numRef>
          </c:xVal>
          <c:yVal>
            <c:numRef>
              <c:f>'Simpson''s Rule'!$H$26:$H$28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92B-4033-AC1A-9C66239E4FF0}"/>
            </c:ext>
          </c:extLst>
        </c:ser>
        <c:ser>
          <c:idx val="23"/>
          <c:order val="23"/>
          <c:tx>
            <c:v>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Rule'!$G$27:$G$29</c:f>
            </c:numRef>
          </c:xVal>
          <c:yVal>
            <c:numRef>
              <c:f>'Simpson''s Rule'!$H$27:$H$29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92B-4033-AC1A-9C66239E4FF0}"/>
            </c:ext>
          </c:extLst>
        </c:ser>
        <c:ser>
          <c:idx val="24"/>
          <c:order val="24"/>
          <c:tx>
            <c:v>25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Rule'!$G$28:$G$30</c:f>
            </c:numRef>
          </c:xVal>
          <c:yVal>
            <c:numRef>
              <c:f>'Simpson''s Rule'!$H$28:$H$30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92B-4033-AC1A-9C66239E4FF0}"/>
            </c:ext>
          </c:extLst>
        </c:ser>
        <c:ser>
          <c:idx val="25"/>
          <c:order val="25"/>
          <c:tx>
            <c:v>26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Rule'!$G$29:$G$31</c:f>
            </c:numRef>
          </c:xVal>
          <c:yVal>
            <c:numRef>
              <c:f>'Simpson''s Rule'!$H$29:$H$31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92B-4033-AC1A-9C66239E4FF0}"/>
            </c:ext>
          </c:extLst>
        </c:ser>
        <c:ser>
          <c:idx val="26"/>
          <c:order val="26"/>
          <c:tx>
            <c:v>27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Rule'!$G$30:$G$32</c:f>
            </c:numRef>
          </c:xVal>
          <c:yVal>
            <c:numRef>
              <c:f>'Simpson''s Rule'!$H$30:$H$32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92B-4033-AC1A-9C66239E4FF0}"/>
            </c:ext>
          </c:extLst>
        </c:ser>
        <c:ser>
          <c:idx val="27"/>
          <c:order val="27"/>
          <c:tx>
            <c:v>28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Rule'!$G$31:$G$33</c:f>
            </c:numRef>
          </c:xVal>
          <c:yVal>
            <c:numRef>
              <c:f>'Simpson''s Rule'!$H$31:$H$33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92B-4033-AC1A-9C66239E4FF0}"/>
            </c:ext>
          </c:extLst>
        </c:ser>
        <c:ser>
          <c:idx val="28"/>
          <c:order val="28"/>
          <c:tx>
            <c:v>29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Rule'!$G$32:$G$34</c:f>
            </c:numRef>
          </c:xVal>
          <c:yVal>
            <c:numRef>
              <c:f>'Simpson''s Rule'!$H$32:$H$34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87-44F4-9B23-3A7CFDEA5DED}"/>
            </c:ext>
          </c:extLst>
        </c:ser>
        <c:ser>
          <c:idx val="29"/>
          <c:order val="29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Rule'!$G$33:$G$35</c:f>
            </c:numRef>
          </c:xVal>
          <c:yVal>
            <c:numRef>
              <c:f>'Simpson''s Rule'!$H$33:$H$35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87-44F4-9B23-3A7CFDEA5DED}"/>
            </c:ext>
          </c:extLst>
        </c:ser>
        <c:ser>
          <c:idx val="30"/>
          <c:order val="30"/>
          <c:tx>
            <c:v>31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Rule'!$G$34:$G$36</c:f>
            </c:numRef>
          </c:xVal>
          <c:yVal>
            <c:numRef>
              <c:f>'Simpson''s Rule'!$H$34:$H$36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87-44F4-9B23-3A7CFDEA5DED}"/>
            </c:ext>
          </c:extLst>
        </c:ser>
        <c:ser>
          <c:idx val="31"/>
          <c:order val="31"/>
          <c:tx>
            <c:v>32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Rule'!$G$35:$G$37</c:f>
            </c:numRef>
          </c:xVal>
          <c:yVal>
            <c:numRef>
              <c:f>'Simpson''s Rule'!$H$35:$H$37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87-44F4-9B23-3A7CFDEA5DED}"/>
            </c:ext>
          </c:extLst>
        </c:ser>
        <c:ser>
          <c:idx val="32"/>
          <c:order val="32"/>
          <c:tx>
            <c:v>33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Rule'!$G$36:$G$38</c:f>
            </c:numRef>
          </c:xVal>
          <c:yVal>
            <c:numRef>
              <c:f>'Simpson''s Rule'!$H$36:$H$38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87-44F4-9B23-3A7CFDEA5DED}"/>
            </c:ext>
          </c:extLst>
        </c:ser>
        <c:ser>
          <c:idx val="33"/>
          <c:order val="33"/>
          <c:tx>
            <c:v>34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'Simpson''s Rule'!$G$37:$G$39</c:f>
            </c:numRef>
          </c:xVal>
          <c:yVal>
            <c:numRef>
              <c:f>'Simpson''s Rule'!$H$37:$H$39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87-44F4-9B23-3A7CFDEA5DED}"/>
            </c:ext>
          </c:extLst>
        </c:ser>
        <c:ser>
          <c:idx val="34"/>
          <c:order val="34"/>
          <c:tx>
            <c:v>35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Rule'!$G$38:$G$40</c:f>
            </c:numRef>
          </c:xVal>
          <c:yVal>
            <c:numRef>
              <c:f>'Simpson''s Rule'!$H$38:$H$40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87-44F4-9B23-3A7CFDEA5DED}"/>
            </c:ext>
          </c:extLst>
        </c:ser>
        <c:ser>
          <c:idx val="35"/>
          <c:order val="35"/>
          <c:tx>
            <c:v>36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Rule'!$G$39:$G$41</c:f>
            </c:numRef>
          </c:xVal>
          <c:yVal>
            <c:numRef>
              <c:f>'Simpson''s Rule'!$H$39:$H$41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87-44F4-9B23-3A7CFDEA5DED}"/>
            </c:ext>
          </c:extLst>
        </c:ser>
        <c:ser>
          <c:idx val="36"/>
          <c:order val="36"/>
          <c:tx>
            <c:v>37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Rule'!$G$40:$G$42</c:f>
            </c:numRef>
          </c:xVal>
          <c:yVal>
            <c:numRef>
              <c:f>'Simpson''s Rule'!$H$40:$H$42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87-44F4-9B23-3A7CFDEA5DED}"/>
            </c:ext>
          </c:extLst>
        </c:ser>
        <c:ser>
          <c:idx val="37"/>
          <c:order val="37"/>
          <c:tx>
            <c:v>38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Rule'!$G$41:$G$43</c:f>
            </c:numRef>
          </c:xVal>
          <c:yVal>
            <c:numRef>
              <c:f>'Simpson''s Rule'!$H$41:$H$43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87-44F4-9B23-3A7CFDEA5DED}"/>
            </c:ext>
          </c:extLst>
        </c:ser>
        <c:ser>
          <c:idx val="38"/>
          <c:order val="38"/>
          <c:tx>
            <c:v>39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Rule'!$G$42:$G$44</c:f>
            </c:numRef>
          </c:xVal>
          <c:yVal>
            <c:numRef>
              <c:f>'Simpson''s Rule'!$H$42:$H$44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C87-44F4-9B23-3A7CFDEA5DED}"/>
            </c:ext>
          </c:extLst>
        </c:ser>
        <c:ser>
          <c:idx val="39"/>
          <c:order val="39"/>
          <c:tx>
            <c:v>40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Rule'!$G$43:$G$45</c:f>
            </c:numRef>
          </c:xVal>
          <c:yVal>
            <c:numRef>
              <c:f>'Simpson''s Rule'!$H$43:$H$45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C87-44F4-9B23-3A7CFDEA5DED}"/>
            </c:ext>
          </c:extLst>
        </c:ser>
        <c:ser>
          <c:idx val="40"/>
          <c:order val="40"/>
          <c:tx>
            <c:v>41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Rule'!$G$44:$G$46</c:f>
            </c:numRef>
          </c:xVal>
          <c:yVal>
            <c:numRef>
              <c:f>'Simpson''s Rule'!$H$44:$H$46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C87-44F4-9B23-3A7CFDEA5DED}"/>
            </c:ext>
          </c:extLst>
        </c:ser>
        <c:ser>
          <c:idx val="41"/>
          <c:order val="41"/>
          <c:tx>
            <c:v>42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Rule'!$G$45:$G$47</c:f>
            </c:numRef>
          </c:xVal>
          <c:yVal>
            <c:numRef>
              <c:f>'Simpson''s Rule'!$H$45:$H$47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C87-44F4-9B23-3A7CFDEA5DED}"/>
            </c:ext>
          </c:extLst>
        </c:ser>
        <c:ser>
          <c:idx val="42"/>
          <c:order val="42"/>
          <c:tx>
            <c:v>43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Rule'!$G$46:$G$48</c:f>
            </c:numRef>
          </c:xVal>
          <c:yVal>
            <c:numRef>
              <c:f>'Simpson''s Rule'!$H$46:$H$48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C87-44F4-9B23-3A7CFDEA5DED}"/>
            </c:ext>
          </c:extLst>
        </c:ser>
        <c:ser>
          <c:idx val="43"/>
          <c:order val="43"/>
          <c:tx>
            <c:v>44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Rule'!$G$47:$G$49</c:f>
            </c:numRef>
          </c:xVal>
          <c:yVal>
            <c:numRef>
              <c:f>'Simpson''s Rule'!$H$47:$H$49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C87-44F4-9B23-3A7CFDEA5DED}"/>
            </c:ext>
          </c:extLst>
        </c:ser>
        <c:ser>
          <c:idx val="44"/>
          <c:order val="44"/>
          <c:tx>
            <c:v>45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Rule'!$G$48:$G$50</c:f>
            </c:numRef>
          </c:xVal>
          <c:yVal>
            <c:numRef>
              <c:f>'Simpson''s Rule'!$H$48:$H$50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C87-44F4-9B23-3A7CFDEA5DED}"/>
            </c:ext>
          </c:extLst>
        </c:ser>
        <c:ser>
          <c:idx val="45"/>
          <c:order val="45"/>
          <c:tx>
            <c:v>46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Rule'!$G$49:$G$51</c:f>
            </c:numRef>
          </c:xVal>
          <c:yVal>
            <c:numRef>
              <c:f>'Simpson''s Rule'!$H$49:$H$51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C87-44F4-9B23-3A7CFDEA5DED}"/>
            </c:ext>
          </c:extLst>
        </c:ser>
        <c:ser>
          <c:idx val="46"/>
          <c:order val="46"/>
          <c:tx>
            <c:v>47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Rule'!$G$50:$G$52</c:f>
            </c:numRef>
          </c:xVal>
          <c:yVal>
            <c:numRef>
              <c:f>'Simpson''s Rule'!$H$50:$H$52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C87-44F4-9B23-3A7CFDEA5DED}"/>
            </c:ext>
          </c:extLst>
        </c:ser>
        <c:ser>
          <c:idx val="47"/>
          <c:order val="47"/>
          <c:tx>
            <c:v>48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Rule'!$G$51:$G$53</c:f>
            </c:numRef>
          </c:xVal>
          <c:yVal>
            <c:numRef>
              <c:f>'Simpson''s Rule'!$H$51:$H$53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C87-44F4-9B23-3A7CFDEA5DED}"/>
            </c:ext>
          </c:extLst>
        </c:ser>
        <c:ser>
          <c:idx val="48"/>
          <c:order val="48"/>
          <c:tx>
            <c:v>49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Rule'!$G$52:$G$54</c:f>
            </c:numRef>
          </c:xVal>
          <c:yVal>
            <c:numRef>
              <c:f>'Simpson''s Rule'!$H$52:$H$54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C87-44F4-9B23-3A7CFDEA5DED}"/>
            </c:ext>
          </c:extLst>
        </c:ser>
        <c:ser>
          <c:idx val="49"/>
          <c:order val="49"/>
          <c:tx>
            <c:v>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Rule'!$G$53:$G$55</c:f>
            </c:numRef>
          </c:xVal>
          <c:yVal>
            <c:numRef>
              <c:f>'Simpson''s Rule'!$H$53:$H$55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C87-44F4-9B23-3A7CFDEA5DED}"/>
            </c:ext>
          </c:extLst>
        </c:ser>
        <c:ser>
          <c:idx val="50"/>
          <c:order val="50"/>
          <c:tx>
            <c:v>51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Rule'!$G$54:$G$56</c:f>
            </c:numRef>
          </c:xVal>
          <c:yVal>
            <c:numRef>
              <c:f>'Simpson''s Rule'!$H$54:$H$56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C87-44F4-9B23-3A7CFDEA5DED}"/>
            </c:ext>
          </c:extLst>
        </c:ser>
        <c:ser>
          <c:idx val="51"/>
          <c:order val="51"/>
          <c:tx>
            <c:v>52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Rule'!$G$55:$G$57</c:f>
            </c:numRef>
          </c:xVal>
          <c:yVal>
            <c:numRef>
              <c:f>'Simpson''s Rule'!$H$55:$H$57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C87-44F4-9B23-3A7CFDEA5DED}"/>
            </c:ext>
          </c:extLst>
        </c:ser>
        <c:ser>
          <c:idx val="52"/>
          <c:order val="52"/>
          <c:tx>
            <c:v>53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Rule'!$G$56:$G$58</c:f>
            </c:numRef>
          </c:xVal>
          <c:yVal>
            <c:numRef>
              <c:f>'Simpson''s Rule'!$H$56:$H$58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C87-44F4-9B23-3A7CFDEA5DED}"/>
            </c:ext>
          </c:extLst>
        </c:ser>
        <c:ser>
          <c:idx val="53"/>
          <c:order val="53"/>
          <c:tx>
            <c:v>54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  <a:lumOff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Rule'!$G$57:$G$59</c:f>
            </c:numRef>
          </c:xVal>
          <c:yVal>
            <c:numRef>
              <c:f>'Simpson''s Rule'!$H$57:$H$59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C87-44F4-9B23-3A7CFDEA5DED}"/>
            </c:ext>
          </c:extLst>
        </c:ser>
        <c:ser>
          <c:idx val="54"/>
          <c:order val="54"/>
          <c:tx>
            <c:v>55+Simpson!$G$58:$G$60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Rule'!$G$58:$G$60</c:f>
            </c:numRef>
          </c:xVal>
          <c:yVal>
            <c:numRef>
              <c:f>'Simpson''s Rule'!$H$58:$H$60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C87-44F4-9B23-3A7CFDEA5DED}"/>
            </c:ext>
          </c:extLst>
        </c:ser>
        <c:ser>
          <c:idx val="55"/>
          <c:order val="55"/>
          <c:tx>
            <c:v>56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Rule'!$G$59:$G$61</c:f>
            </c:numRef>
          </c:xVal>
          <c:yVal>
            <c:numRef>
              <c:f>'Simpson''s Rule'!$H$59:$H$61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C87-44F4-9B23-3A7CFDEA5DED}"/>
            </c:ext>
          </c:extLst>
        </c:ser>
        <c:ser>
          <c:idx val="56"/>
          <c:order val="56"/>
          <c:tx>
            <c:v>57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Rule'!$G$60:$G$62</c:f>
            </c:numRef>
          </c:xVal>
          <c:yVal>
            <c:numRef>
              <c:f>'Simpson''s Rule'!$H$60:$H$62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C87-44F4-9B23-3A7CFDEA5DED}"/>
            </c:ext>
          </c:extLst>
        </c:ser>
        <c:ser>
          <c:idx val="57"/>
          <c:order val="57"/>
          <c:tx>
            <c:v>58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Rule'!$G$61:$G$63</c:f>
            </c:numRef>
          </c:xVal>
          <c:yVal>
            <c:numRef>
              <c:f>'Simpson''s Rule'!$H$61:$H$63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C87-44F4-9B23-3A7CFDEA5DED}"/>
            </c:ext>
          </c:extLst>
        </c:ser>
        <c:ser>
          <c:idx val="58"/>
          <c:order val="58"/>
          <c:tx>
            <c:v>59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Rule'!$G$62:$G$64</c:f>
            </c:numRef>
          </c:xVal>
          <c:yVal>
            <c:numRef>
              <c:f>'Simpson''s Rule'!$H$62:$H$64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C87-44F4-9B23-3A7CFDEA5DED}"/>
            </c:ext>
          </c:extLst>
        </c:ser>
        <c:ser>
          <c:idx val="59"/>
          <c:order val="59"/>
          <c:tx>
            <c:v>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Rule'!$G$63:$G$65</c:f>
            </c:numRef>
          </c:xVal>
          <c:yVal>
            <c:numRef>
              <c:f>'Simpson''s Rule'!$H$63:$H$65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C87-44F4-9B23-3A7CFDEA5DED}"/>
            </c:ext>
          </c:extLst>
        </c:ser>
        <c:ser>
          <c:idx val="60"/>
          <c:order val="60"/>
          <c:tx>
            <c:v>61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Rule'!$G$64:$G$66</c:f>
            </c:numRef>
          </c:xVal>
          <c:yVal>
            <c:numRef>
              <c:f>'Simpson''s Rule'!$H$64:$H$66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C87-44F4-9B23-3A7CFDEA5DED}"/>
            </c:ext>
          </c:extLst>
        </c:ser>
        <c:ser>
          <c:idx val="61"/>
          <c:order val="61"/>
          <c:tx>
            <c:v>62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Rule'!$G$65:$G$67</c:f>
            </c:numRef>
          </c:xVal>
          <c:yVal>
            <c:numRef>
              <c:f>'Simpson''s Rule'!$H$65:$H$67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C87-44F4-9B23-3A7CFDEA5DED}"/>
            </c:ext>
          </c:extLst>
        </c:ser>
        <c:ser>
          <c:idx val="62"/>
          <c:order val="62"/>
          <c:tx>
            <c:v>63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Rule'!$G$66:$G$68</c:f>
            </c:numRef>
          </c:xVal>
          <c:yVal>
            <c:numRef>
              <c:f>'Simpson''s Rule'!$H$66:$H$68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C87-44F4-9B23-3A7CFDEA5DED}"/>
            </c:ext>
          </c:extLst>
        </c:ser>
        <c:ser>
          <c:idx val="63"/>
          <c:order val="63"/>
          <c:tx>
            <c:v>64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Rule'!$G$67:$G$69</c:f>
            </c:numRef>
          </c:xVal>
          <c:yVal>
            <c:numRef>
              <c:f>'Simpson''s Rule'!$H$67:$H$69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4C87-44F4-9B23-3A7CFDEA5DED}"/>
            </c:ext>
          </c:extLst>
        </c:ser>
        <c:ser>
          <c:idx val="64"/>
          <c:order val="64"/>
          <c:tx>
            <c:v>65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Rule'!$G$68:$G$70</c:f>
            </c:numRef>
          </c:xVal>
          <c:yVal>
            <c:numRef>
              <c:f>'Simpson''s Rule'!$H$68:$H$70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4C87-44F4-9B23-3A7CFDEA5DED}"/>
            </c:ext>
          </c:extLst>
        </c:ser>
        <c:ser>
          <c:idx val="65"/>
          <c:order val="65"/>
          <c:tx>
            <c:v>66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Rule'!$G$69:$G$71</c:f>
            </c:numRef>
          </c:xVal>
          <c:yVal>
            <c:numRef>
              <c:f>'Simpson''s Rule'!$H$69:$H$71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4C87-44F4-9B23-3A7CFDEA5DED}"/>
            </c:ext>
          </c:extLst>
        </c:ser>
        <c:ser>
          <c:idx val="66"/>
          <c:order val="66"/>
          <c:tx>
            <c:v>67+Simpson!$G$70:$G$72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Rule'!$G$70:$G$72</c:f>
            </c:numRef>
          </c:xVal>
          <c:yVal>
            <c:numRef>
              <c:f>'Simpson''s Rule'!$H$70:$H$72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4C87-44F4-9B23-3A7CFDEA5DED}"/>
            </c:ext>
          </c:extLst>
        </c:ser>
        <c:ser>
          <c:idx val="67"/>
          <c:order val="67"/>
          <c:tx>
            <c:v>68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Rule'!$G$71:$G$73</c:f>
            </c:numRef>
          </c:xVal>
          <c:yVal>
            <c:numRef>
              <c:f>'Simpson''s Rule'!$H$71:$H$73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4C87-44F4-9B23-3A7CFDEA5DED}"/>
            </c:ext>
          </c:extLst>
        </c:ser>
        <c:ser>
          <c:idx val="68"/>
          <c:order val="68"/>
          <c:tx>
            <c:v>69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Rule'!$G$72:$G$74</c:f>
            </c:numRef>
          </c:xVal>
          <c:yVal>
            <c:numRef>
              <c:f>'Simpson''s Rule'!$H$72:$H$74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4C87-44F4-9B23-3A7CFDEA5DED}"/>
            </c:ext>
          </c:extLst>
        </c:ser>
        <c:ser>
          <c:idx val="69"/>
          <c:order val="69"/>
          <c:tx>
            <c:v>70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Rule'!$G$73:$G$75</c:f>
            </c:numRef>
          </c:xVal>
          <c:yVal>
            <c:numRef>
              <c:f>'Simpson''s Rule'!$H$73:$H$75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4C87-44F4-9B23-3A7CFDEA5DED}"/>
            </c:ext>
          </c:extLst>
        </c:ser>
        <c:ser>
          <c:idx val="70"/>
          <c:order val="70"/>
          <c:tx>
            <c:v>71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Rule'!$G$74:$G$76</c:f>
            </c:numRef>
          </c:xVal>
          <c:yVal>
            <c:numRef>
              <c:f>'Simpson''s Rule'!$H$74:$H$76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4C87-44F4-9B23-3A7CFDEA5DED}"/>
            </c:ext>
          </c:extLst>
        </c:ser>
        <c:ser>
          <c:idx val="71"/>
          <c:order val="71"/>
          <c:tx>
            <c:v>72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Rule'!$G$75:$G$77</c:f>
            </c:numRef>
          </c:xVal>
          <c:yVal>
            <c:numRef>
              <c:f>'Simpson''s Rule'!$H$75:$H$77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4C87-44F4-9B23-3A7CFDEA5DED}"/>
            </c:ext>
          </c:extLst>
        </c:ser>
        <c:ser>
          <c:idx val="72"/>
          <c:order val="72"/>
          <c:tx>
            <c:v>73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Rule'!$G$76:$G$78</c:f>
            </c:numRef>
          </c:xVal>
          <c:yVal>
            <c:numRef>
              <c:f>'Simpson''s Rule'!$H$76:$H$78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4C87-44F4-9B23-3A7CFDEA5DED}"/>
            </c:ext>
          </c:extLst>
        </c:ser>
        <c:ser>
          <c:idx val="73"/>
          <c:order val="73"/>
          <c:tx>
            <c:v>74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Rule'!$G$77:$G$79</c:f>
            </c:numRef>
          </c:xVal>
          <c:yVal>
            <c:numRef>
              <c:f>'Simpson''s Rule'!$H$77:$H$79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4C87-44F4-9B23-3A7CFDEA5DED}"/>
            </c:ext>
          </c:extLst>
        </c:ser>
        <c:ser>
          <c:idx val="74"/>
          <c:order val="74"/>
          <c:tx>
            <c:v>75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Rule'!$G$78:$G$80</c:f>
            </c:numRef>
          </c:xVal>
          <c:yVal>
            <c:numRef>
              <c:f>'Simpson''s Rule'!$H$78:$H$80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4C87-44F4-9B23-3A7CFDEA5DED}"/>
            </c:ext>
          </c:extLst>
        </c:ser>
        <c:ser>
          <c:idx val="75"/>
          <c:order val="75"/>
          <c:tx>
            <c:v>76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Rule'!$G$79:$G$81</c:f>
            </c:numRef>
          </c:xVal>
          <c:yVal>
            <c:numRef>
              <c:f>'Simpson''s Rule'!$H$79:$H$81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4C87-44F4-9B23-3A7CFDEA5DED}"/>
            </c:ext>
          </c:extLst>
        </c:ser>
        <c:ser>
          <c:idx val="76"/>
          <c:order val="76"/>
          <c:tx>
            <c:v>77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Rule'!$G$80:$G$82</c:f>
            </c:numRef>
          </c:xVal>
          <c:yVal>
            <c:numRef>
              <c:f>'Simpson''s Rule'!$H$80:$H$82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4C87-44F4-9B23-3A7CFDEA5DED}"/>
            </c:ext>
          </c:extLst>
        </c:ser>
        <c:ser>
          <c:idx val="77"/>
          <c:order val="77"/>
          <c:tx>
            <c:v>78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Rule'!$G$81:$G$83</c:f>
            </c:numRef>
          </c:xVal>
          <c:yVal>
            <c:numRef>
              <c:f>'Simpson''s Rule'!$H$81:$H$83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4C87-44F4-9B23-3A7CFDEA5DED}"/>
            </c:ext>
          </c:extLst>
        </c:ser>
        <c:ser>
          <c:idx val="78"/>
          <c:order val="78"/>
          <c:tx>
            <c:v>79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Rule'!$G$82:$G$84</c:f>
            </c:numRef>
          </c:xVal>
          <c:yVal>
            <c:numRef>
              <c:f>'Simpson''s Rule'!$H$82:$H$84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4C87-44F4-9B23-3A7CFDEA5DED}"/>
            </c:ext>
          </c:extLst>
        </c:ser>
        <c:ser>
          <c:idx val="79"/>
          <c:order val="79"/>
          <c:tx>
            <c:v>80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Rule'!$G$83:$G$85</c:f>
            </c:numRef>
          </c:xVal>
          <c:yVal>
            <c:numRef>
              <c:f>'Simpson''s Rule'!$H$83:$H$85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4C87-44F4-9B23-3A7CFDEA5DED}"/>
            </c:ext>
          </c:extLst>
        </c:ser>
        <c:ser>
          <c:idx val="80"/>
          <c:order val="80"/>
          <c:tx>
            <c:v>81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Rule'!$G$84:$G$86</c:f>
            </c:numRef>
          </c:xVal>
          <c:yVal>
            <c:numRef>
              <c:f>'Simpson''s Rule'!$H$84:$H$86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4C87-44F4-9B23-3A7CFDEA5DED}"/>
            </c:ext>
          </c:extLst>
        </c:ser>
        <c:ser>
          <c:idx val="81"/>
          <c:order val="81"/>
          <c:tx>
            <c:v>82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Rule'!$G$85:$G$87</c:f>
            </c:numRef>
          </c:xVal>
          <c:yVal>
            <c:numRef>
              <c:f>'Simpson''s Rule'!$H$85:$H$87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4C87-44F4-9B23-3A7CFDEA5DED}"/>
            </c:ext>
          </c:extLst>
        </c:ser>
        <c:ser>
          <c:idx val="82"/>
          <c:order val="82"/>
          <c:tx>
            <c:v>83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Rule'!$G$86:$G$88</c:f>
            </c:numRef>
          </c:xVal>
          <c:yVal>
            <c:numRef>
              <c:f>'Simpson''s Rule'!$H$86:$H$88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4C87-44F4-9B23-3A7CFDEA5DED}"/>
            </c:ext>
          </c:extLst>
        </c:ser>
        <c:ser>
          <c:idx val="83"/>
          <c:order val="83"/>
          <c:tx>
            <c:v>84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Rule'!$G$87:$G$89</c:f>
            </c:numRef>
          </c:xVal>
          <c:yVal>
            <c:numRef>
              <c:f>'Simpson''s Rule'!$H$87:$H$89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4C87-44F4-9B23-3A7CFDEA5DED}"/>
            </c:ext>
          </c:extLst>
        </c:ser>
        <c:ser>
          <c:idx val="84"/>
          <c:order val="84"/>
          <c:tx>
            <c:v>85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Rule'!$G$88:$G$90</c:f>
            </c:numRef>
          </c:xVal>
          <c:yVal>
            <c:numRef>
              <c:f>'Simpson''s Rule'!$H$88:$H$90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4C87-44F4-9B23-3A7CFDEA5DED}"/>
            </c:ext>
          </c:extLst>
        </c:ser>
        <c:ser>
          <c:idx val="85"/>
          <c:order val="85"/>
          <c:tx>
            <c:v>86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Rule'!$G$89:$G$91</c:f>
            </c:numRef>
          </c:xVal>
          <c:yVal>
            <c:numRef>
              <c:f>'Simpson''s Rule'!$H$89:$H$91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4C87-44F4-9B23-3A7CFDEA5DED}"/>
            </c:ext>
          </c:extLst>
        </c:ser>
        <c:ser>
          <c:idx val="86"/>
          <c:order val="86"/>
          <c:tx>
            <c:v>87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Rule'!$G$90:$G$92</c:f>
            </c:numRef>
          </c:xVal>
          <c:yVal>
            <c:numRef>
              <c:f>'Simpson''s Rule'!$H$90:$H$92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4C87-44F4-9B23-3A7CFDEA5DED}"/>
            </c:ext>
          </c:extLst>
        </c:ser>
        <c:ser>
          <c:idx val="87"/>
          <c:order val="87"/>
          <c:tx>
            <c:v>88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Rule'!$G$91:$G$93</c:f>
            </c:numRef>
          </c:xVal>
          <c:yVal>
            <c:numRef>
              <c:f>'Simpson''s Rule'!$H$91:$H$93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4C87-44F4-9B23-3A7CFDEA5DED}"/>
            </c:ext>
          </c:extLst>
        </c:ser>
        <c:ser>
          <c:idx val="88"/>
          <c:order val="88"/>
          <c:tx>
            <c:v>89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Rule'!$G$92:$G$94</c:f>
            </c:numRef>
          </c:xVal>
          <c:yVal>
            <c:numRef>
              <c:f>'Simpson''s Rule'!$H$92:$H$94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4C87-44F4-9B23-3A7CFDEA5DED}"/>
            </c:ext>
          </c:extLst>
        </c:ser>
        <c:ser>
          <c:idx val="89"/>
          <c:order val="89"/>
          <c:tx>
            <c:v>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Rule'!$G$93:$G$95</c:f>
            </c:numRef>
          </c:xVal>
          <c:yVal>
            <c:numRef>
              <c:f>'Simpson''s Rule'!$H$93:$H$95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4C87-44F4-9B23-3A7CFDEA5DED}"/>
            </c:ext>
          </c:extLst>
        </c:ser>
        <c:ser>
          <c:idx val="90"/>
          <c:order val="90"/>
          <c:tx>
            <c:v>91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Rule'!$G$94:$G$96</c:f>
            </c:numRef>
          </c:xVal>
          <c:yVal>
            <c:numRef>
              <c:f>'Simpson''s Rule'!$H$94:$H$96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4C87-44F4-9B23-3A7CFDEA5DED}"/>
            </c:ext>
          </c:extLst>
        </c:ser>
        <c:ser>
          <c:idx val="91"/>
          <c:order val="91"/>
          <c:tx>
            <c:v>92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Rule'!$G$95:$G$97</c:f>
            </c:numRef>
          </c:xVal>
          <c:yVal>
            <c:numRef>
              <c:f>'Simpson''s Rule'!$H$95:$H$97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4C87-44F4-9B23-3A7CFDEA5DED}"/>
            </c:ext>
          </c:extLst>
        </c:ser>
        <c:ser>
          <c:idx val="92"/>
          <c:order val="92"/>
          <c:tx>
            <c:v>93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Rule'!$G$96:$G$98</c:f>
            </c:numRef>
          </c:xVal>
          <c:yVal>
            <c:numRef>
              <c:f>'Simpson''s Rule'!$H$96:$H$98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4C87-44F4-9B23-3A7CFDEA5DED}"/>
            </c:ext>
          </c:extLst>
        </c:ser>
        <c:ser>
          <c:idx val="93"/>
          <c:order val="93"/>
          <c:tx>
            <c:v>94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Rule'!$G$97:$G$99</c:f>
            </c:numRef>
          </c:xVal>
          <c:yVal>
            <c:numRef>
              <c:f>'Simpson''s Rule'!$H$97:$H$99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4C87-44F4-9B23-3A7CFDEA5DED}"/>
            </c:ext>
          </c:extLst>
        </c:ser>
        <c:ser>
          <c:idx val="94"/>
          <c:order val="94"/>
          <c:tx>
            <c:v>95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Rule'!$G$98:$G$100</c:f>
            </c:numRef>
          </c:xVal>
          <c:yVal>
            <c:numRef>
              <c:f>'Simpson''s Rule'!$H$98:$H$100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4C87-44F4-9B23-3A7CFDEA5DED}"/>
            </c:ext>
          </c:extLst>
        </c:ser>
        <c:ser>
          <c:idx val="95"/>
          <c:order val="95"/>
          <c:tx>
            <c:v>96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Rule'!$G$99:$G$101</c:f>
            </c:numRef>
          </c:xVal>
          <c:yVal>
            <c:numRef>
              <c:f>'Simpson''s Rule'!$H$99:$H$101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4C87-44F4-9B23-3A7CFDEA5DED}"/>
            </c:ext>
          </c:extLst>
        </c:ser>
        <c:ser>
          <c:idx val="96"/>
          <c:order val="96"/>
          <c:tx>
            <c:v>97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Rule'!$G$100:$G$102</c:f>
            </c:numRef>
          </c:xVal>
          <c:yVal>
            <c:numRef>
              <c:f>'Simpson''s Rule'!$H$100:$H$102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4C87-44F4-9B23-3A7CFDEA5DED}"/>
            </c:ext>
          </c:extLst>
        </c:ser>
        <c:ser>
          <c:idx val="97"/>
          <c:order val="97"/>
          <c:tx>
            <c:v>98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'Simpson''s Rule'!$G$101:$G$103</c:f>
            </c:numRef>
          </c:xVal>
          <c:yVal>
            <c:numRef>
              <c:f>'Simpson''s Rule'!$H$101:$H$103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4C87-44F4-9B23-3A7CFDEA5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13760"/>
        <c:axId val="562708840"/>
      </c:scatterChart>
      <c:valAx>
        <c:axId val="5627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08840"/>
        <c:crosses val="autoZero"/>
        <c:crossBetween val="midCat"/>
      </c:valAx>
      <c:valAx>
        <c:axId val="56270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3809</xdr:colOff>
      <xdr:row>4</xdr:row>
      <xdr:rowOff>3811</xdr:rowOff>
    </xdr:from>
    <xdr:to>
      <xdr:col>24</xdr:col>
      <xdr:colOff>10884</xdr:colOff>
      <xdr:row>26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BCF91A-BD21-41D6-B400-C43865E52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8552</xdr:colOff>
      <xdr:row>4</xdr:row>
      <xdr:rowOff>0</xdr:rowOff>
    </xdr:from>
    <xdr:to>
      <xdr:col>33</xdr:col>
      <xdr:colOff>0</xdr:colOff>
      <xdr:row>26</xdr:row>
      <xdr:rowOff>174945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FB85ECA-5CA5-4604-A55F-2C64D2603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190499</xdr:rowOff>
    </xdr:from>
    <xdr:to>
      <xdr:col>25</xdr:col>
      <xdr:colOff>601579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1A028-678F-430B-897F-58F41979C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0CF16-9B5C-435F-847F-85367CB19D2D}">
  <sheetPr codeName="Sheet1"/>
  <dimension ref="B2:C23"/>
  <sheetViews>
    <sheetView tabSelected="1" workbookViewId="0"/>
  </sheetViews>
  <sheetFormatPr defaultRowHeight="14.4" x14ac:dyDescent="0.3"/>
  <cols>
    <col min="3" max="3" width="86.33203125" bestFit="1" customWidth="1"/>
  </cols>
  <sheetData>
    <row r="2" spans="2:3" x14ac:dyDescent="0.3">
      <c r="C2" s="1" t="s">
        <v>28</v>
      </c>
    </row>
    <row r="3" spans="2:3" x14ac:dyDescent="0.3">
      <c r="B3" s="1" t="s">
        <v>29</v>
      </c>
      <c r="C3" t="s">
        <v>45</v>
      </c>
    </row>
    <row r="4" spans="2:3" x14ac:dyDescent="0.3">
      <c r="B4" s="1"/>
      <c r="C4" t="s">
        <v>47</v>
      </c>
    </row>
    <row r="5" spans="2:3" ht="14.4" customHeight="1" x14ac:dyDescent="0.3">
      <c r="B5" s="1" t="s">
        <v>30</v>
      </c>
      <c r="C5" s="40" t="s">
        <v>43</v>
      </c>
    </row>
    <row r="6" spans="2:3" ht="14.4" customHeight="1" x14ac:dyDescent="0.3">
      <c r="B6" s="41" t="s">
        <v>44</v>
      </c>
      <c r="C6" s="40" t="s">
        <v>48</v>
      </c>
    </row>
    <row r="7" spans="2:3" ht="14.4" customHeight="1" x14ac:dyDescent="0.3">
      <c r="B7" s="41"/>
      <c r="C7" s="40" t="s">
        <v>49</v>
      </c>
    </row>
    <row r="8" spans="2:3" x14ac:dyDescent="0.3">
      <c r="B8" s="1" t="s">
        <v>31</v>
      </c>
      <c r="C8" t="s">
        <v>46</v>
      </c>
    </row>
    <row r="9" spans="2:3" x14ac:dyDescent="0.3">
      <c r="B9" s="1" t="s">
        <v>32</v>
      </c>
      <c r="C9" t="s">
        <v>35</v>
      </c>
    </row>
    <row r="11" spans="2:3" x14ac:dyDescent="0.3">
      <c r="C11" s="39" t="s">
        <v>33</v>
      </c>
    </row>
    <row r="12" spans="2:3" ht="15.6" x14ac:dyDescent="0.35">
      <c r="B12" s="1" t="s">
        <v>0</v>
      </c>
      <c r="C12" t="s">
        <v>37</v>
      </c>
    </row>
    <row r="13" spans="2:3" ht="15.6" x14ac:dyDescent="0.35">
      <c r="B13" s="1" t="s">
        <v>1</v>
      </c>
      <c r="C13" t="s">
        <v>38</v>
      </c>
    </row>
    <row r="14" spans="2:3" x14ac:dyDescent="0.3">
      <c r="B14" s="1" t="s">
        <v>2</v>
      </c>
      <c r="C14" t="s">
        <v>41</v>
      </c>
    </row>
    <row r="15" spans="2:3" x14ac:dyDescent="0.3">
      <c r="B15" s="1" t="s">
        <v>36</v>
      </c>
      <c r="C15" t="s">
        <v>42</v>
      </c>
    </row>
    <row r="17" spans="2:3" x14ac:dyDescent="0.3">
      <c r="C17" s="39" t="s">
        <v>39</v>
      </c>
    </row>
    <row r="18" spans="2:3" ht="15.6" x14ac:dyDescent="0.35">
      <c r="B18" s="1" t="s">
        <v>29</v>
      </c>
      <c r="C18" t="s">
        <v>40</v>
      </c>
    </row>
    <row r="19" spans="2:3" x14ac:dyDescent="0.3">
      <c r="B19" s="1" t="s">
        <v>30</v>
      </c>
      <c r="C19" t="s">
        <v>34</v>
      </c>
    </row>
    <row r="20" spans="2:3" x14ac:dyDescent="0.3">
      <c r="B20" s="1"/>
    </row>
    <row r="21" spans="2:3" x14ac:dyDescent="0.3">
      <c r="B21" s="1"/>
      <c r="C21" s="39" t="s">
        <v>50</v>
      </c>
    </row>
    <row r="22" spans="2:3" ht="28.8" customHeight="1" x14ac:dyDescent="0.3">
      <c r="B22" s="43" t="s">
        <v>51</v>
      </c>
      <c r="C22" s="40" t="s">
        <v>52</v>
      </c>
    </row>
    <row r="23" spans="2:3" x14ac:dyDescent="0.3">
      <c r="B23" s="42" t="s">
        <v>51</v>
      </c>
      <c r="C23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7A14-E4C1-4B3E-967C-A7CA3CB65FEC}">
  <sheetPr codeName="Sheet2"/>
  <dimension ref="B1:K204"/>
  <sheetViews>
    <sheetView zoomScale="70" zoomScaleNormal="70" workbookViewId="0">
      <selection activeCell="B11" sqref="B11"/>
    </sheetView>
  </sheetViews>
  <sheetFormatPr defaultRowHeight="14.4" x14ac:dyDescent="0.3"/>
  <cols>
    <col min="2" max="2" width="12.21875" bestFit="1" customWidth="1"/>
    <col min="3" max="3" width="26.6640625" customWidth="1"/>
    <col min="6" max="6" width="20" customWidth="1"/>
    <col min="8" max="8" width="20" customWidth="1"/>
    <col min="11" max="11" width="12.33203125" customWidth="1"/>
  </cols>
  <sheetData>
    <row r="1" spans="2:11" ht="14.4" customHeight="1" x14ac:dyDescent="0.3"/>
    <row r="2" spans="2:11" ht="14.4" customHeight="1" thickBot="1" x14ac:dyDescent="0.35">
      <c r="E2" s="44" t="s">
        <v>17</v>
      </c>
      <c r="F2" s="44"/>
      <c r="G2" s="44" t="s">
        <v>18</v>
      </c>
      <c r="H2" s="44"/>
      <c r="J2" s="44" t="s">
        <v>21</v>
      </c>
      <c r="K2" s="44"/>
    </row>
    <row r="3" spans="2:11" ht="14.4" customHeight="1" thickBot="1" x14ac:dyDescent="0.35">
      <c r="E3" s="28" t="s">
        <v>3</v>
      </c>
      <c r="F3" s="28" t="s">
        <v>4</v>
      </c>
      <c r="G3" s="28" t="s">
        <v>3</v>
      </c>
      <c r="H3" s="28" t="s">
        <v>4</v>
      </c>
      <c r="I3" s="11"/>
      <c r="J3" s="28" t="s">
        <v>6</v>
      </c>
      <c r="K3" s="28" t="s">
        <v>5</v>
      </c>
    </row>
    <row r="4" spans="2:11" ht="14.4" customHeight="1" thickBot="1" x14ac:dyDescent="0.35">
      <c r="E4" s="16">
        <f>C19</f>
        <v>1</v>
      </c>
      <c r="F4" s="17">
        <f>E4^2</f>
        <v>1</v>
      </c>
      <c r="G4" s="16">
        <f>IF($C$11="right",C19+$C$23,IF($C$11="left",C19,IF($C$11="mid",C19+$C$23/2,"??")))</f>
        <v>1</v>
      </c>
      <c r="H4" s="17">
        <f>G4^2</f>
        <v>1</v>
      </c>
      <c r="J4" s="16">
        <f>($C$23)*H4</f>
        <v>0.375</v>
      </c>
      <c r="K4" s="5">
        <f>SUM(J4:J204)</f>
        <v>18.2578125</v>
      </c>
    </row>
    <row r="5" spans="2:11" ht="14.4" customHeight="1" x14ac:dyDescent="0.3">
      <c r="E5" s="16">
        <f>E4+($C$20-$C$19)/200</f>
        <v>1.0149999999999999</v>
      </c>
      <c r="F5" s="17">
        <f t="shared" ref="F5:F68" si="0">E5^2</f>
        <v>1.0302249999999997</v>
      </c>
      <c r="G5" s="16">
        <f t="shared" ref="G5:G36" si="1">IF($C$11="right",IF(E5&lt;G4,G4,G4+$C$23),IF($C$11="left",IF(E5&lt;G4+$C$23,G4,G4+$C$23),IF($C$11="mid",IF(E5&lt;G4+$C$23/2,G4,G4+$C$23),"error?")))</f>
        <v>1</v>
      </c>
      <c r="H5" s="17">
        <f t="shared" ref="H5:H68" si="2">G5^2</f>
        <v>1</v>
      </c>
      <c r="J5" s="14" t="str">
        <f t="shared" ref="J5:J36" si="3">IF(H5=H4,"",($C$23)*H5)</f>
        <v/>
      </c>
    </row>
    <row r="6" spans="2:11" ht="14.4" customHeight="1" thickBot="1" x14ac:dyDescent="0.35">
      <c r="E6" s="16">
        <f t="shared" ref="E6:E36" si="4">E5+($C$20-$C$19)/200</f>
        <v>1.0299999999999998</v>
      </c>
      <c r="F6" s="17">
        <f t="shared" si="0"/>
        <v>1.0608999999999995</v>
      </c>
      <c r="G6" s="16">
        <f t="shared" si="1"/>
        <v>1</v>
      </c>
      <c r="H6" s="17">
        <f t="shared" si="2"/>
        <v>1</v>
      </c>
      <c r="J6" s="14" t="str">
        <f t="shared" si="3"/>
        <v/>
      </c>
    </row>
    <row r="7" spans="2:11" ht="14.4" customHeight="1" thickBot="1" x14ac:dyDescent="0.35">
      <c r="B7" s="30" t="s">
        <v>12</v>
      </c>
      <c r="C7" s="31" t="s">
        <v>13</v>
      </c>
      <c r="E7" s="16">
        <f t="shared" si="4"/>
        <v>1.0449999999999997</v>
      </c>
      <c r="F7" s="17">
        <f t="shared" si="0"/>
        <v>1.0920249999999994</v>
      </c>
      <c r="G7" s="16">
        <f t="shared" si="1"/>
        <v>1</v>
      </c>
      <c r="H7" s="17">
        <f t="shared" si="2"/>
        <v>1</v>
      </c>
      <c r="J7" s="14" t="str">
        <f t="shared" si="3"/>
        <v/>
      </c>
    </row>
    <row r="8" spans="2:11" ht="14.4" customHeight="1" x14ac:dyDescent="0.3">
      <c r="E8" s="16">
        <f t="shared" si="4"/>
        <v>1.0599999999999996</v>
      </c>
      <c r="F8" s="17">
        <f t="shared" si="0"/>
        <v>1.1235999999999993</v>
      </c>
      <c r="G8" s="16">
        <f t="shared" si="1"/>
        <v>1</v>
      </c>
      <c r="H8" s="17">
        <f t="shared" si="2"/>
        <v>1</v>
      </c>
      <c r="J8" s="14" t="str">
        <f t="shared" si="3"/>
        <v/>
      </c>
    </row>
    <row r="9" spans="2:11" ht="14.4" customHeight="1" x14ac:dyDescent="0.3">
      <c r="E9" s="16">
        <f t="shared" si="4"/>
        <v>1.0749999999999995</v>
      </c>
      <c r="F9" s="17">
        <f t="shared" si="0"/>
        <v>1.155624999999999</v>
      </c>
      <c r="G9" s="16">
        <f t="shared" si="1"/>
        <v>1</v>
      </c>
      <c r="H9" s="17">
        <f t="shared" si="2"/>
        <v>1</v>
      </c>
      <c r="J9" s="14" t="str">
        <f>IF(H9=H8,"",($C$23)*H9)</f>
        <v/>
      </c>
    </row>
    <row r="10" spans="2:11" ht="14.4" customHeight="1" thickBot="1" x14ac:dyDescent="0.35">
      <c r="E10" s="16">
        <f t="shared" si="4"/>
        <v>1.0899999999999994</v>
      </c>
      <c r="F10" s="17">
        <f t="shared" si="0"/>
        <v>1.1880999999999988</v>
      </c>
      <c r="G10" s="16">
        <f t="shared" si="1"/>
        <v>1</v>
      </c>
      <c r="H10" s="17">
        <f t="shared" si="2"/>
        <v>1</v>
      </c>
      <c r="J10" s="14" t="str">
        <f t="shared" si="3"/>
        <v/>
      </c>
    </row>
    <row r="11" spans="2:11" ht="14.4" customHeight="1" thickBot="1" x14ac:dyDescent="0.35">
      <c r="B11" s="30" t="s">
        <v>14</v>
      </c>
      <c r="C11" s="8" t="s">
        <v>26</v>
      </c>
      <c r="E11" s="16">
        <f t="shared" si="4"/>
        <v>1.1049999999999993</v>
      </c>
      <c r="F11" s="17">
        <f t="shared" si="0"/>
        <v>1.2210249999999985</v>
      </c>
      <c r="G11" s="16">
        <f t="shared" si="1"/>
        <v>1</v>
      </c>
      <c r="H11" s="17">
        <f t="shared" si="2"/>
        <v>1</v>
      </c>
      <c r="J11" s="14" t="str">
        <f t="shared" si="3"/>
        <v/>
      </c>
    </row>
    <row r="12" spans="2:11" ht="14.4" customHeight="1" x14ac:dyDescent="0.3">
      <c r="E12" s="16">
        <f t="shared" si="4"/>
        <v>1.1199999999999992</v>
      </c>
      <c r="F12" s="17">
        <f t="shared" si="0"/>
        <v>1.2543999999999982</v>
      </c>
      <c r="G12" s="16">
        <f t="shared" si="1"/>
        <v>1</v>
      </c>
      <c r="H12" s="17">
        <f t="shared" si="2"/>
        <v>1</v>
      </c>
      <c r="J12" s="14" t="str">
        <f t="shared" si="3"/>
        <v/>
      </c>
    </row>
    <row r="13" spans="2:11" ht="14.4" customHeight="1" x14ac:dyDescent="0.3">
      <c r="E13" s="16">
        <f t="shared" si="4"/>
        <v>1.1349999999999991</v>
      </c>
      <c r="F13" s="17">
        <f t="shared" si="0"/>
        <v>1.288224999999998</v>
      </c>
      <c r="G13" s="16">
        <f t="shared" si="1"/>
        <v>1</v>
      </c>
      <c r="H13" s="17">
        <f t="shared" si="2"/>
        <v>1</v>
      </c>
      <c r="J13" s="14" t="str">
        <f t="shared" si="3"/>
        <v/>
      </c>
    </row>
    <row r="14" spans="2:11" ht="14.4" customHeight="1" x14ac:dyDescent="0.3">
      <c r="E14" s="16">
        <f t="shared" si="4"/>
        <v>1.149999999999999</v>
      </c>
      <c r="F14" s="17">
        <f t="shared" si="0"/>
        <v>1.3224999999999978</v>
      </c>
      <c r="G14" s="16">
        <f t="shared" si="1"/>
        <v>1</v>
      </c>
      <c r="H14" s="17">
        <f t="shared" si="2"/>
        <v>1</v>
      </c>
      <c r="J14" s="14" t="str">
        <f t="shared" si="3"/>
        <v/>
      </c>
    </row>
    <row r="15" spans="2:11" ht="14.4" customHeight="1" x14ac:dyDescent="0.3">
      <c r="E15" s="16">
        <f t="shared" si="4"/>
        <v>1.1649999999999989</v>
      </c>
      <c r="F15" s="17">
        <f t="shared" si="0"/>
        <v>1.3572249999999975</v>
      </c>
      <c r="G15" s="16">
        <f t="shared" si="1"/>
        <v>1</v>
      </c>
      <c r="H15" s="17">
        <f t="shared" si="2"/>
        <v>1</v>
      </c>
      <c r="J15" s="14" t="str">
        <f t="shared" si="3"/>
        <v/>
      </c>
    </row>
    <row r="16" spans="2:11" ht="14.4" customHeight="1" x14ac:dyDescent="0.3">
      <c r="E16" s="16">
        <f t="shared" si="4"/>
        <v>1.1799999999999988</v>
      </c>
      <c r="F16" s="17">
        <f t="shared" si="0"/>
        <v>1.3923999999999972</v>
      </c>
      <c r="G16" s="16">
        <f t="shared" si="1"/>
        <v>1</v>
      </c>
      <c r="H16" s="17">
        <f t="shared" si="2"/>
        <v>1</v>
      </c>
      <c r="J16" s="14" t="str">
        <f t="shared" si="3"/>
        <v/>
      </c>
    </row>
    <row r="17" spans="2:10" ht="14.4" customHeight="1" thickBot="1" x14ac:dyDescent="0.35">
      <c r="E17" s="16">
        <f t="shared" si="4"/>
        <v>1.1949999999999987</v>
      </c>
      <c r="F17" s="17">
        <f t="shared" si="0"/>
        <v>1.428024999999997</v>
      </c>
      <c r="G17" s="16">
        <f t="shared" si="1"/>
        <v>1</v>
      </c>
      <c r="H17" s="17">
        <f t="shared" si="2"/>
        <v>1</v>
      </c>
      <c r="J17" s="14" t="str">
        <f t="shared" si="3"/>
        <v/>
      </c>
    </row>
    <row r="18" spans="2:10" ht="14.4" customHeight="1" thickBot="1" x14ac:dyDescent="0.35">
      <c r="B18" s="5"/>
      <c r="C18" s="30" t="s">
        <v>19</v>
      </c>
      <c r="E18" s="16">
        <f t="shared" si="4"/>
        <v>1.2099999999999986</v>
      </c>
      <c r="F18" s="17">
        <f t="shared" si="0"/>
        <v>1.4640999999999966</v>
      </c>
      <c r="G18" s="16">
        <f t="shared" si="1"/>
        <v>1</v>
      </c>
      <c r="H18" s="17">
        <f t="shared" si="2"/>
        <v>1</v>
      </c>
      <c r="J18" s="14" t="str">
        <f t="shared" si="3"/>
        <v/>
      </c>
    </row>
    <row r="19" spans="2:10" ht="14.4" customHeight="1" thickBot="1" x14ac:dyDescent="0.35">
      <c r="B19" s="28" t="s">
        <v>0</v>
      </c>
      <c r="C19" s="9">
        <v>1</v>
      </c>
      <c r="E19" s="16">
        <f t="shared" si="4"/>
        <v>1.2249999999999985</v>
      </c>
      <c r="F19" s="17">
        <f t="shared" si="0"/>
        <v>1.5006249999999963</v>
      </c>
      <c r="G19" s="16">
        <f t="shared" si="1"/>
        <v>1</v>
      </c>
      <c r="H19" s="17">
        <f t="shared" si="2"/>
        <v>1</v>
      </c>
      <c r="J19" s="14" t="str">
        <f t="shared" si="3"/>
        <v/>
      </c>
    </row>
    <row r="20" spans="2:10" ht="14.4" customHeight="1" thickBot="1" x14ac:dyDescent="0.35">
      <c r="B20" s="28" t="s">
        <v>1</v>
      </c>
      <c r="C20" s="10">
        <v>4</v>
      </c>
      <c r="E20" s="16">
        <f t="shared" si="4"/>
        <v>1.2399999999999984</v>
      </c>
      <c r="F20" s="17">
        <f t="shared" si="0"/>
        <v>1.5375999999999961</v>
      </c>
      <c r="G20" s="16">
        <f t="shared" si="1"/>
        <v>1</v>
      </c>
      <c r="H20" s="17">
        <f t="shared" si="2"/>
        <v>1</v>
      </c>
      <c r="J20" s="14" t="str">
        <f t="shared" si="3"/>
        <v/>
      </c>
    </row>
    <row r="21" spans="2:10" ht="14.4" customHeight="1" thickBot="1" x14ac:dyDescent="0.35">
      <c r="B21" s="28" t="s">
        <v>2</v>
      </c>
      <c r="C21" s="10">
        <v>8</v>
      </c>
      <c r="E21" s="16">
        <f t="shared" si="4"/>
        <v>1.2549999999999983</v>
      </c>
      <c r="F21" s="17">
        <f t="shared" si="0"/>
        <v>1.5750249999999959</v>
      </c>
      <c r="G21" s="16">
        <f t="shared" si="1"/>
        <v>1</v>
      </c>
      <c r="H21" s="17">
        <f t="shared" si="2"/>
        <v>1</v>
      </c>
      <c r="J21" s="14" t="str">
        <f t="shared" si="3"/>
        <v/>
      </c>
    </row>
    <row r="22" spans="2:10" ht="14.4" customHeight="1" thickBot="1" x14ac:dyDescent="0.35">
      <c r="B22" s="11"/>
      <c r="E22" s="16">
        <f t="shared" si="4"/>
        <v>1.2699999999999982</v>
      </c>
      <c r="F22" s="17">
        <f t="shared" si="0"/>
        <v>1.6128999999999956</v>
      </c>
      <c r="G22" s="16">
        <f t="shared" si="1"/>
        <v>1</v>
      </c>
      <c r="H22" s="17">
        <f t="shared" si="2"/>
        <v>1</v>
      </c>
      <c r="J22" s="14" t="str">
        <f t="shared" si="3"/>
        <v/>
      </c>
    </row>
    <row r="23" spans="2:10" ht="14.4" customHeight="1" thickBot="1" x14ac:dyDescent="0.35">
      <c r="B23" s="28" t="s">
        <v>15</v>
      </c>
      <c r="C23" s="7">
        <f>(C20-C19)/C21</f>
        <v>0.375</v>
      </c>
      <c r="E23" s="16">
        <f t="shared" si="4"/>
        <v>1.2849999999999981</v>
      </c>
      <c r="F23" s="17">
        <f t="shared" si="0"/>
        <v>1.6512249999999953</v>
      </c>
      <c r="G23" s="16">
        <f t="shared" si="1"/>
        <v>1</v>
      </c>
      <c r="H23" s="17">
        <f t="shared" si="2"/>
        <v>1</v>
      </c>
      <c r="J23" s="14" t="str">
        <f t="shared" si="3"/>
        <v/>
      </c>
    </row>
    <row r="24" spans="2:10" ht="14.4" customHeight="1" thickBot="1" x14ac:dyDescent="0.35">
      <c r="E24" s="16">
        <f t="shared" si="4"/>
        <v>1.299999999999998</v>
      </c>
      <c r="F24" s="17">
        <f t="shared" si="0"/>
        <v>1.6899999999999948</v>
      </c>
      <c r="G24" s="16">
        <f t="shared" si="1"/>
        <v>1</v>
      </c>
      <c r="H24" s="17">
        <f t="shared" si="2"/>
        <v>1</v>
      </c>
      <c r="J24" s="14" t="str">
        <f t="shared" si="3"/>
        <v/>
      </c>
    </row>
    <row r="25" spans="2:10" ht="14.4" customHeight="1" thickBot="1" x14ac:dyDescent="0.35">
      <c r="B25" s="33" t="s">
        <v>16</v>
      </c>
      <c r="C25" s="12">
        <f>K4</f>
        <v>18.2578125</v>
      </c>
      <c r="E25" s="16">
        <f t="shared" si="4"/>
        <v>1.3149999999999979</v>
      </c>
      <c r="F25" s="17">
        <f t="shared" si="0"/>
        <v>1.7292249999999947</v>
      </c>
      <c r="G25" s="16">
        <f t="shared" si="1"/>
        <v>1</v>
      </c>
      <c r="H25" s="17">
        <f t="shared" si="2"/>
        <v>1</v>
      </c>
      <c r="J25" s="14" t="str">
        <f t="shared" si="3"/>
        <v/>
      </c>
    </row>
    <row r="26" spans="2:10" ht="14.4" customHeight="1" thickBot="1" x14ac:dyDescent="0.35">
      <c r="B26" s="33" t="s">
        <v>23</v>
      </c>
      <c r="C26" s="13" t="s">
        <v>9</v>
      </c>
      <c r="E26" s="16">
        <f t="shared" si="4"/>
        <v>1.3299999999999979</v>
      </c>
      <c r="F26" s="17">
        <f t="shared" si="0"/>
        <v>1.7688999999999944</v>
      </c>
      <c r="G26" s="16">
        <f t="shared" si="1"/>
        <v>1</v>
      </c>
      <c r="H26" s="17">
        <f t="shared" si="2"/>
        <v>1</v>
      </c>
      <c r="J26" s="14" t="str">
        <f t="shared" si="3"/>
        <v/>
      </c>
    </row>
    <row r="27" spans="2:10" x14ac:dyDescent="0.3">
      <c r="E27" s="16">
        <f t="shared" si="4"/>
        <v>1.3449999999999978</v>
      </c>
      <c r="F27" s="17">
        <f t="shared" si="0"/>
        <v>1.8090249999999939</v>
      </c>
      <c r="G27" s="16">
        <f t="shared" si="1"/>
        <v>1</v>
      </c>
      <c r="H27" s="17">
        <f t="shared" si="2"/>
        <v>1</v>
      </c>
      <c r="J27" s="14" t="str">
        <f t="shared" si="3"/>
        <v/>
      </c>
    </row>
    <row r="28" spans="2:10" x14ac:dyDescent="0.3">
      <c r="E28" s="16">
        <f t="shared" si="4"/>
        <v>1.3599999999999977</v>
      </c>
      <c r="F28" s="17">
        <f t="shared" si="0"/>
        <v>1.8495999999999937</v>
      </c>
      <c r="G28" s="16">
        <f t="shared" si="1"/>
        <v>1</v>
      </c>
      <c r="H28" s="17">
        <f t="shared" si="2"/>
        <v>1</v>
      </c>
      <c r="J28" s="14" t="str">
        <f t="shared" si="3"/>
        <v/>
      </c>
    </row>
    <row r="29" spans="2:10" x14ac:dyDescent="0.3">
      <c r="E29" s="16">
        <f t="shared" si="4"/>
        <v>1.3749999999999976</v>
      </c>
      <c r="F29" s="17">
        <f t="shared" si="0"/>
        <v>1.8906249999999933</v>
      </c>
      <c r="G29" s="16">
        <f t="shared" si="1"/>
        <v>1.375</v>
      </c>
      <c r="H29" s="17">
        <f t="shared" si="2"/>
        <v>1.890625</v>
      </c>
      <c r="J29" s="14">
        <f t="shared" si="3"/>
        <v>0.708984375</v>
      </c>
    </row>
    <row r="30" spans="2:10" x14ac:dyDescent="0.3">
      <c r="E30" s="16">
        <f t="shared" si="4"/>
        <v>1.3899999999999975</v>
      </c>
      <c r="F30" s="17">
        <f t="shared" si="0"/>
        <v>1.932099999999993</v>
      </c>
      <c r="G30" s="16">
        <f t="shared" si="1"/>
        <v>1.375</v>
      </c>
      <c r="H30" s="17">
        <f t="shared" si="2"/>
        <v>1.890625</v>
      </c>
      <c r="J30" s="14" t="str">
        <f t="shared" si="3"/>
        <v/>
      </c>
    </row>
    <row r="31" spans="2:10" x14ac:dyDescent="0.3">
      <c r="E31" s="16">
        <f t="shared" si="4"/>
        <v>1.4049999999999974</v>
      </c>
      <c r="F31" s="17">
        <f t="shared" si="0"/>
        <v>1.9740249999999926</v>
      </c>
      <c r="G31" s="16">
        <f t="shared" si="1"/>
        <v>1.375</v>
      </c>
      <c r="H31" s="17">
        <f t="shared" si="2"/>
        <v>1.890625</v>
      </c>
      <c r="J31" s="14" t="str">
        <f t="shared" si="3"/>
        <v/>
      </c>
    </row>
    <row r="32" spans="2:10" x14ac:dyDescent="0.3">
      <c r="E32" s="16">
        <f t="shared" si="4"/>
        <v>1.4199999999999973</v>
      </c>
      <c r="F32" s="17">
        <f t="shared" si="0"/>
        <v>2.0163999999999924</v>
      </c>
      <c r="G32" s="16">
        <f t="shared" si="1"/>
        <v>1.375</v>
      </c>
      <c r="H32" s="17">
        <f t="shared" si="2"/>
        <v>1.890625</v>
      </c>
      <c r="J32" s="14" t="str">
        <f t="shared" si="3"/>
        <v/>
      </c>
    </row>
    <row r="33" spans="5:10" x14ac:dyDescent="0.3">
      <c r="E33" s="16">
        <f t="shared" si="4"/>
        <v>1.4349999999999972</v>
      </c>
      <c r="F33" s="17">
        <f t="shared" si="0"/>
        <v>2.0592249999999921</v>
      </c>
      <c r="G33" s="16">
        <f t="shared" si="1"/>
        <v>1.375</v>
      </c>
      <c r="H33" s="17">
        <f t="shared" si="2"/>
        <v>1.890625</v>
      </c>
      <c r="J33" s="14" t="str">
        <f t="shared" si="3"/>
        <v/>
      </c>
    </row>
    <row r="34" spans="5:10" x14ac:dyDescent="0.3">
      <c r="E34" s="16">
        <f t="shared" si="4"/>
        <v>1.4499999999999971</v>
      </c>
      <c r="F34" s="17">
        <f t="shared" si="0"/>
        <v>2.1024999999999916</v>
      </c>
      <c r="G34" s="16">
        <f t="shared" si="1"/>
        <v>1.375</v>
      </c>
      <c r="H34" s="17">
        <f t="shared" si="2"/>
        <v>1.890625</v>
      </c>
      <c r="J34" s="14" t="str">
        <f t="shared" si="3"/>
        <v/>
      </c>
    </row>
    <row r="35" spans="5:10" x14ac:dyDescent="0.3">
      <c r="E35" s="16">
        <f t="shared" si="4"/>
        <v>1.464999999999997</v>
      </c>
      <c r="F35" s="17">
        <f t="shared" si="0"/>
        <v>2.1462249999999909</v>
      </c>
      <c r="G35" s="16">
        <f t="shared" si="1"/>
        <v>1.375</v>
      </c>
      <c r="H35" s="17">
        <f t="shared" si="2"/>
        <v>1.890625</v>
      </c>
      <c r="J35" s="14" t="str">
        <f t="shared" si="3"/>
        <v/>
      </c>
    </row>
    <row r="36" spans="5:10" x14ac:dyDescent="0.3">
      <c r="E36" s="16">
        <f t="shared" si="4"/>
        <v>1.4799999999999969</v>
      </c>
      <c r="F36" s="17">
        <f t="shared" si="0"/>
        <v>2.1903999999999906</v>
      </c>
      <c r="G36" s="16">
        <f t="shared" si="1"/>
        <v>1.375</v>
      </c>
      <c r="H36" s="17">
        <f t="shared" si="2"/>
        <v>1.890625</v>
      </c>
      <c r="J36" s="14" t="str">
        <f t="shared" si="3"/>
        <v/>
      </c>
    </row>
    <row r="37" spans="5:10" x14ac:dyDescent="0.3">
      <c r="E37" s="16">
        <f t="shared" ref="E37:E68" si="5">E36+($C$20-$C$19)/200</f>
        <v>1.4949999999999968</v>
      </c>
      <c r="F37" s="17">
        <f t="shared" si="0"/>
        <v>2.2350249999999905</v>
      </c>
      <c r="G37" s="16">
        <f t="shared" ref="G37:G68" si="6">IF($C$11="right",IF(E37&lt;G36,G36,G36+$C$23),IF($C$11="left",IF(E37&lt;G36+$C$23,G36,G36+$C$23),IF($C$11="mid",IF(E37&lt;G36+$C$23/2,G36,G36+$C$23),"error?")))</f>
        <v>1.375</v>
      </c>
      <c r="H37" s="17">
        <f t="shared" si="2"/>
        <v>1.890625</v>
      </c>
      <c r="J37" s="14" t="str">
        <f t="shared" ref="J37:J68" si="7">IF(H37=H36,"",($C$23)*H37)</f>
        <v/>
      </c>
    </row>
    <row r="38" spans="5:10" x14ac:dyDescent="0.3">
      <c r="E38" s="16">
        <f t="shared" si="5"/>
        <v>1.5099999999999967</v>
      </c>
      <c r="F38" s="17">
        <f t="shared" si="0"/>
        <v>2.2800999999999898</v>
      </c>
      <c r="G38" s="16">
        <f t="shared" si="6"/>
        <v>1.375</v>
      </c>
      <c r="H38" s="17">
        <f t="shared" si="2"/>
        <v>1.890625</v>
      </c>
      <c r="J38" s="14" t="str">
        <f t="shared" si="7"/>
        <v/>
      </c>
    </row>
    <row r="39" spans="5:10" x14ac:dyDescent="0.3">
      <c r="E39" s="16">
        <f t="shared" si="5"/>
        <v>1.5249999999999966</v>
      </c>
      <c r="F39" s="17">
        <f t="shared" si="0"/>
        <v>2.3256249999999894</v>
      </c>
      <c r="G39" s="16">
        <f t="shared" si="6"/>
        <v>1.375</v>
      </c>
      <c r="H39" s="17">
        <f t="shared" si="2"/>
        <v>1.890625</v>
      </c>
      <c r="J39" s="14" t="str">
        <f t="shared" si="7"/>
        <v/>
      </c>
    </row>
    <row r="40" spans="5:10" x14ac:dyDescent="0.3">
      <c r="E40" s="16">
        <f t="shared" si="5"/>
        <v>1.5399999999999965</v>
      </c>
      <c r="F40" s="17">
        <f t="shared" si="0"/>
        <v>2.3715999999999893</v>
      </c>
      <c r="G40" s="16">
        <f t="shared" si="6"/>
        <v>1.375</v>
      </c>
      <c r="H40" s="17">
        <f t="shared" si="2"/>
        <v>1.890625</v>
      </c>
      <c r="J40" s="14" t="str">
        <f t="shared" si="7"/>
        <v/>
      </c>
    </row>
    <row r="41" spans="5:10" x14ac:dyDescent="0.3">
      <c r="E41" s="16">
        <f t="shared" si="5"/>
        <v>1.5549999999999964</v>
      </c>
      <c r="F41" s="17">
        <f t="shared" si="0"/>
        <v>2.4180249999999885</v>
      </c>
      <c r="G41" s="16">
        <f t="shared" si="6"/>
        <v>1.375</v>
      </c>
      <c r="H41" s="17">
        <f t="shared" si="2"/>
        <v>1.890625</v>
      </c>
      <c r="J41" s="14" t="str">
        <f t="shared" si="7"/>
        <v/>
      </c>
    </row>
    <row r="42" spans="5:10" x14ac:dyDescent="0.3">
      <c r="E42" s="16">
        <f t="shared" si="5"/>
        <v>1.5699999999999963</v>
      </c>
      <c r="F42" s="17">
        <f t="shared" si="0"/>
        <v>2.4648999999999885</v>
      </c>
      <c r="G42" s="16">
        <f t="shared" si="6"/>
        <v>1.375</v>
      </c>
      <c r="H42" s="17">
        <f t="shared" si="2"/>
        <v>1.890625</v>
      </c>
      <c r="J42" s="14" t="str">
        <f t="shared" si="7"/>
        <v/>
      </c>
    </row>
    <row r="43" spans="5:10" x14ac:dyDescent="0.3">
      <c r="E43" s="16">
        <f t="shared" si="5"/>
        <v>1.5849999999999962</v>
      </c>
      <c r="F43" s="17">
        <f t="shared" si="0"/>
        <v>2.5122249999999879</v>
      </c>
      <c r="G43" s="16">
        <f t="shared" si="6"/>
        <v>1.375</v>
      </c>
      <c r="H43" s="17">
        <f t="shared" si="2"/>
        <v>1.890625</v>
      </c>
      <c r="J43" s="14" t="str">
        <f t="shared" si="7"/>
        <v/>
      </c>
    </row>
    <row r="44" spans="5:10" x14ac:dyDescent="0.3">
      <c r="E44" s="16">
        <f t="shared" si="5"/>
        <v>1.5999999999999961</v>
      </c>
      <c r="F44" s="17">
        <f t="shared" si="0"/>
        <v>2.5599999999999876</v>
      </c>
      <c r="G44" s="16">
        <f t="shared" si="6"/>
        <v>1.375</v>
      </c>
      <c r="H44" s="17">
        <f t="shared" si="2"/>
        <v>1.890625</v>
      </c>
      <c r="J44" s="14" t="str">
        <f t="shared" si="7"/>
        <v/>
      </c>
    </row>
    <row r="45" spans="5:10" x14ac:dyDescent="0.3">
      <c r="E45" s="16">
        <f t="shared" si="5"/>
        <v>1.614999999999996</v>
      </c>
      <c r="F45" s="17">
        <f t="shared" si="0"/>
        <v>2.6082249999999871</v>
      </c>
      <c r="G45" s="16">
        <f t="shared" si="6"/>
        <v>1.375</v>
      </c>
      <c r="H45" s="17">
        <f t="shared" si="2"/>
        <v>1.890625</v>
      </c>
      <c r="J45" s="14" t="str">
        <f t="shared" si="7"/>
        <v/>
      </c>
    </row>
    <row r="46" spans="5:10" x14ac:dyDescent="0.3">
      <c r="E46" s="16">
        <f t="shared" si="5"/>
        <v>1.6299999999999959</v>
      </c>
      <c r="F46" s="17">
        <f t="shared" si="0"/>
        <v>2.6568999999999865</v>
      </c>
      <c r="G46" s="16">
        <f t="shared" si="6"/>
        <v>1.375</v>
      </c>
      <c r="H46" s="17">
        <f t="shared" si="2"/>
        <v>1.890625</v>
      </c>
      <c r="J46" s="14" t="str">
        <f t="shared" si="7"/>
        <v/>
      </c>
    </row>
    <row r="47" spans="5:10" x14ac:dyDescent="0.3">
      <c r="E47" s="16">
        <f t="shared" si="5"/>
        <v>1.6449999999999958</v>
      </c>
      <c r="F47" s="17">
        <f t="shared" si="0"/>
        <v>2.7060249999999861</v>
      </c>
      <c r="G47" s="16">
        <f t="shared" si="6"/>
        <v>1.375</v>
      </c>
      <c r="H47" s="17">
        <f t="shared" si="2"/>
        <v>1.890625</v>
      </c>
      <c r="J47" s="14" t="str">
        <f t="shared" si="7"/>
        <v/>
      </c>
    </row>
    <row r="48" spans="5:10" x14ac:dyDescent="0.3">
      <c r="E48" s="16">
        <f t="shared" si="5"/>
        <v>1.6599999999999957</v>
      </c>
      <c r="F48" s="17">
        <f t="shared" si="0"/>
        <v>2.7555999999999856</v>
      </c>
      <c r="G48" s="16">
        <f t="shared" si="6"/>
        <v>1.375</v>
      </c>
      <c r="H48" s="17">
        <f t="shared" si="2"/>
        <v>1.890625</v>
      </c>
      <c r="J48" s="14" t="str">
        <f t="shared" si="7"/>
        <v/>
      </c>
    </row>
    <row r="49" spans="5:10" x14ac:dyDescent="0.3">
      <c r="E49" s="16">
        <f t="shared" si="5"/>
        <v>1.6749999999999956</v>
      </c>
      <c r="F49" s="17">
        <f t="shared" si="0"/>
        <v>2.8056249999999854</v>
      </c>
      <c r="G49" s="16">
        <f t="shared" si="6"/>
        <v>1.375</v>
      </c>
      <c r="H49" s="17">
        <f t="shared" si="2"/>
        <v>1.890625</v>
      </c>
      <c r="J49" s="14" t="str">
        <f t="shared" si="7"/>
        <v/>
      </c>
    </row>
    <row r="50" spans="5:10" x14ac:dyDescent="0.3">
      <c r="E50" s="16">
        <f t="shared" si="5"/>
        <v>1.6899999999999955</v>
      </c>
      <c r="F50" s="17">
        <f t="shared" si="0"/>
        <v>2.856099999999985</v>
      </c>
      <c r="G50" s="16">
        <f t="shared" si="6"/>
        <v>1.375</v>
      </c>
      <c r="H50" s="17">
        <f t="shared" si="2"/>
        <v>1.890625</v>
      </c>
      <c r="J50" s="14" t="str">
        <f t="shared" si="7"/>
        <v/>
      </c>
    </row>
    <row r="51" spans="5:10" x14ac:dyDescent="0.3">
      <c r="E51" s="16">
        <f t="shared" si="5"/>
        <v>1.7049999999999954</v>
      </c>
      <c r="F51" s="17">
        <f t="shared" si="0"/>
        <v>2.9070249999999844</v>
      </c>
      <c r="G51" s="16">
        <f t="shared" si="6"/>
        <v>1.375</v>
      </c>
      <c r="H51" s="17">
        <f t="shared" si="2"/>
        <v>1.890625</v>
      </c>
      <c r="J51" s="14" t="str">
        <f t="shared" si="7"/>
        <v/>
      </c>
    </row>
    <row r="52" spans="5:10" x14ac:dyDescent="0.3">
      <c r="E52" s="16">
        <f t="shared" si="5"/>
        <v>1.7199999999999953</v>
      </c>
      <c r="F52" s="17">
        <f t="shared" si="0"/>
        <v>2.9583999999999837</v>
      </c>
      <c r="G52" s="16">
        <f t="shared" si="6"/>
        <v>1.375</v>
      </c>
      <c r="H52" s="17">
        <f t="shared" si="2"/>
        <v>1.890625</v>
      </c>
      <c r="J52" s="14" t="str">
        <f t="shared" si="7"/>
        <v/>
      </c>
    </row>
    <row r="53" spans="5:10" x14ac:dyDescent="0.3">
      <c r="E53" s="16">
        <f t="shared" si="5"/>
        <v>1.7349999999999952</v>
      </c>
      <c r="F53" s="17">
        <f t="shared" si="0"/>
        <v>3.0102249999999833</v>
      </c>
      <c r="G53" s="16">
        <f t="shared" si="6"/>
        <v>1.375</v>
      </c>
      <c r="H53" s="17">
        <f t="shared" si="2"/>
        <v>1.890625</v>
      </c>
      <c r="J53" s="14" t="str">
        <f t="shared" si="7"/>
        <v/>
      </c>
    </row>
    <row r="54" spans="5:10" x14ac:dyDescent="0.3">
      <c r="E54" s="16">
        <f t="shared" si="5"/>
        <v>1.7499999999999951</v>
      </c>
      <c r="F54" s="17">
        <f t="shared" si="0"/>
        <v>3.0624999999999831</v>
      </c>
      <c r="G54" s="16">
        <f t="shared" si="6"/>
        <v>1.75</v>
      </c>
      <c r="H54" s="17">
        <f t="shared" si="2"/>
        <v>3.0625</v>
      </c>
      <c r="J54" s="14">
        <f t="shared" si="7"/>
        <v>1.1484375</v>
      </c>
    </row>
    <row r="55" spans="5:10" x14ac:dyDescent="0.3">
      <c r="E55" s="16">
        <f t="shared" si="5"/>
        <v>1.764999999999995</v>
      </c>
      <c r="F55" s="17">
        <f t="shared" si="0"/>
        <v>3.1152249999999824</v>
      </c>
      <c r="G55" s="16">
        <f t="shared" si="6"/>
        <v>1.75</v>
      </c>
      <c r="H55" s="17">
        <f t="shared" si="2"/>
        <v>3.0625</v>
      </c>
      <c r="J55" s="14" t="str">
        <f t="shared" si="7"/>
        <v/>
      </c>
    </row>
    <row r="56" spans="5:10" x14ac:dyDescent="0.3">
      <c r="E56" s="16">
        <f t="shared" si="5"/>
        <v>1.7799999999999949</v>
      </c>
      <c r="F56" s="17">
        <f t="shared" si="0"/>
        <v>3.1683999999999819</v>
      </c>
      <c r="G56" s="16">
        <f t="shared" si="6"/>
        <v>1.75</v>
      </c>
      <c r="H56" s="17">
        <f t="shared" si="2"/>
        <v>3.0625</v>
      </c>
      <c r="J56" s="14" t="str">
        <f t="shared" si="7"/>
        <v/>
      </c>
    </row>
    <row r="57" spans="5:10" x14ac:dyDescent="0.3">
      <c r="E57" s="16">
        <f t="shared" si="5"/>
        <v>1.7949999999999948</v>
      </c>
      <c r="F57" s="17">
        <f t="shared" si="0"/>
        <v>3.2220249999999813</v>
      </c>
      <c r="G57" s="16">
        <f t="shared" si="6"/>
        <v>1.75</v>
      </c>
      <c r="H57" s="17">
        <f t="shared" si="2"/>
        <v>3.0625</v>
      </c>
      <c r="J57" s="14" t="str">
        <f t="shared" si="7"/>
        <v/>
      </c>
    </row>
    <row r="58" spans="5:10" x14ac:dyDescent="0.3">
      <c r="E58" s="16">
        <f t="shared" si="5"/>
        <v>1.8099999999999947</v>
      </c>
      <c r="F58" s="17">
        <f t="shared" si="0"/>
        <v>3.2760999999999809</v>
      </c>
      <c r="G58" s="16">
        <f t="shared" si="6"/>
        <v>1.75</v>
      </c>
      <c r="H58" s="17">
        <f t="shared" si="2"/>
        <v>3.0625</v>
      </c>
      <c r="J58" s="14" t="str">
        <f t="shared" si="7"/>
        <v/>
      </c>
    </row>
    <row r="59" spans="5:10" x14ac:dyDescent="0.3">
      <c r="E59" s="16">
        <f t="shared" si="5"/>
        <v>1.8249999999999946</v>
      </c>
      <c r="F59" s="17">
        <f t="shared" si="0"/>
        <v>3.3306249999999804</v>
      </c>
      <c r="G59" s="16">
        <f t="shared" si="6"/>
        <v>1.75</v>
      </c>
      <c r="H59" s="17">
        <f t="shared" si="2"/>
        <v>3.0625</v>
      </c>
      <c r="J59" s="14" t="str">
        <f t="shared" si="7"/>
        <v/>
      </c>
    </row>
    <row r="60" spans="5:10" x14ac:dyDescent="0.3">
      <c r="E60" s="16">
        <f t="shared" si="5"/>
        <v>1.8399999999999945</v>
      </c>
      <c r="F60" s="17">
        <f t="shared" si="0"/>
        <v>3.3855999999999797</v>
      </c>
      <c r="G60" s="16">
        <f t="shared" si="6"/>
        <v>1.75</v>
      </c>
      <c r="H60" s="17">
        <f t="shared" si="2"/>
        <v>3.0625</v>
      </c>
      <c r="J60" s="14" t="str">
        <f t="shared" si="7"/>
        <v/>
      </c>
    </row>
    <row r="61" spans="5:10" x14ac:dyDescent="0.3">
      <c r="E61" s="16">
        <f t="shared" si="5"/>
        <v>1.8549999999999944</v>
      </c>
      <c r="F61" s="17">
        <f t="shared" si="0"/>
        <v>3.4410249999999794</v>
      </c>
      <c r="G61" s="16">
        <f t="shared" si="6"/>
        <v>1.75</v>
      </c>
      <c r="H61" s="17">
        <f t="shared" si="2"/>
        <v>3.0625</v>
      </c>
      <c r="J61" s="14" t="str">
        <f t="shared" si="7"/>
        <v/>
      </c>
    </row>
    <row r="62" spans="5:10" x14ac:dyDescent="0.3">
      <c r="E62" s="16">
        <f t="shared" si="5"/>
        <v>1.8699999999999943</v>
      </c>
      <c r="F62" s="17">
        <f t="shared" si="0"/>
        <v>3.4968999999999788</v>
      </c>
      <c r="G62" s="16">
        <f t="shared" si="6"/>
        <v>1.75</v>
      </c>
      <c r="H62" s="17">
        <f t="shared" si="2"/>
        <v>3.0625</v>
      </c>
      <c r="J62" s="14" t="str">
        <f t="shared" si="7"/>
        <v/>
      </c>
    </row>
    <row r="63" spans="5:10" x14ac:dyDescent="0.3">
      <c r="E63" s="16">
        <f t="shared" si="5"/>
        <v>1.8849999999999942</v>
      </c>
      <c r="F63" s="17">
        <f t="shared" si="0"/>
        <v>3.5532249999999781</v>
      </c>
      <c r="G63" s="16">
        <f t="shared" si="6"/>
        <v>1.75</v>
      </c>
      <c r="H63" s="17">
        <f t="shared" si="2"/>
        <v>3.0625</v>
      </c>
      <c r="J63" s="14" t="str">
        <f t="shared" si="7"/>
        <v/>
      </c>
    </row>
    <row r="64" spans="5:10" x14ac:dyDescent="0.3">
      <c r="E64" s="16">
        <f t="shared" si="5"/>
        <v>1.8999999999999941</v>
      </c>
      <c r="F64" s="17">
        <f t="shared" si="0"/>
        <v>3.6099999999999777</v>
      </c>
      <c r="G64" s="16">
        <f t="shared" si="6"/>
        <v>1.75</v>
      </c>
      <c r="H64" s="17">
        <f t="shared" si="2"/>
        <v>3.0625</v>
      </c>
      <c r="J64" s="14" t="str">
        <f t="shared" si="7"/>
        <v/>
      </c>
    </row>
    <row r="65" spans="5:10" x14ac:dyDescent="0.3">
      <c r="E65" s="16">
        <f t="shared" si="5"/>
        <v>1.914999999999994</v>
      </c>
      <c r="F65" s="17">
        <f t="shared" si="0"/>
        <v>3.6672249999999771</v>
      </c>
      <c r="G65" s="16">
        <f t="shared" si="6"/>
        <v>1.75</v>
      </c>
      <c r="H65" s="17">
        <f t="shared" si="2"/>
        <v>3.0625</v>
      </c>
      <c r="J65" s="14" t="str">
        <f t="shared" si="7"/>
        <v/>
      </c>
    </row>
    <row r="66" spans="5:10" x14ac:dyDescent="0.3">
      <c r="E66" s="16">
        <f t="shared" si="5"/>
        <v>1.9299999999999939</v>
      </c>
      <c r="F66" s="17">
        <f t="shared" si="0"/>
        <v>3.7248999999999768</v>
      </c>
      <c r="G66" s="16">
        <f t="shared" si="6"/>
        <v>1.75</v>
      </c>
      <c r="H66" s="17">
        <f t="shared" si="2"/>
        <v>3.0625</v>
      </c>
      <c r="J66" s="14" t="str">
        <f t="shared" si="7"/>
        <v/>
      </c>
    </row>
    <row r="67" spans="5:10" x14ac:dyDescent="0.3">
      <c r="E67" s="16">
        <f t="shared" si="5"/>
        <v>1.9449999999999938</v>
      </c>
      <c r="F67" s="17">
        <f t="shared" si="0"/>
        <v>3.7830249999999759</v>
      </c>
      <c r="G67" s="16">
        <f t="shared" si="6"/>
        <v>1.75</v>
      </c>
      <c r="H67" s="17">
        <f t="shared" si="2"/>
        <v>3.0625</v>
      </c>
      <c r="J67" s="14" t="str">
        <f t="shared" si="7"/>
        <v/>
      </c>
    </row>
    <row r="68" spans="5:10" x14ac:dyDescent="0.3">
      <c r="E68" s="16">
        <f t="shared" si="5"/>
        <v>1.9599999999999937</v>
      </c>
      <c r="F68" s="17">
        <f t="shared" si="0"/>
        <v>3.8415999999999757</v>
      </c>
      <c r="G68" s="16">
        <f t="shared" si="6"/>
        <v>1.75</v>
      </c>
      <c r="H68" s="17">
        <f t="shared" si="2"/>
        <v>3.0625</v>
      </c>
      <c r="J68" s="14" t="str">
        <f t="shared" si="7"/>
        <v/>
      </c>
    </row>
    <row r="69" spans="5:10" x14ac:dyDescent="0.3">
      <c r="E69" s="16">
        <f t="shared" ref="E69:E100" si="8">E68+($C$20-$C$19)/200</f>
        <v>1.9749999999999936</v>
      </c>
      <c r="F69" s="17">
        <f t="shared" ref="F69:F132" si="9">E69^2</f>
        <v>3.9006249999999749</v>
      </c>
      <c r="G69" s="16">
        <f t="shared" ref="G69:G100" si="10">IF($C$11="right",IF(E69&lt;G68,G68,G68+$C$23),IF($C$11="left",IF(E69&lt;G68+$C$23,G68,G68+$C$23),IF($C$11="mid",IF(E69&lt;G68+$C$23/2,G68,G68+$C$23),"error?")))</f>
        <v>1.75</v>
      </c>
      <c r="H69" s="17">
        <f t="shared" ref="H69:H132" si="11">G69^2</f>
        <v>3.0625</v>
      </c>
      <c r="J69" s="14" t="str">
        <f t="shared" ref="J69:J100" si="12">IF(H69=H68,"",($C$23)*H69)</f>
        <v/>
      </c>
    </row>
    <row r="70" spans="5:10" x14ac:dyDescent="0.3">
      <c r="E70" s="16">
        <f t="shared" si="8"/>
        <v>1.9899999999999936</v>
      </c>
      <c r="F70" s="17">
        <f t="shared" si="9"/>
        <v>3.9600999999999744</v>
      </c>
      <c r="G70" s="16">
        <f t="shared" si="10"/>
        <v>1.75</v>
      </c>
      <c r="H70" s="17">
        <f t="shared" si="11"/>
        <v>3.0625</v>
      </c>
      <c r="J70" s="14" t="str">
        <f t="shared" si="12"/>
        <v/>
      </c>
    </row>
    <row r="71" spans="5:10" x14ac:dyDescent="0.3">
      <c r="E71" s="16">
        <f t="shared" si="8"/>
        <v>2.0049999999999937</v>
      </c>
      <c r="F71" s="17">
        <f t="shared" si="9"/>
        <v>4.0200249999999746</v>
      </c>
      <c r="G71" s="16">
        <f t="shared" si="10"/>
        <v>1.75</v>
      </c>
      <c r="H71" s="17">
        <f t="shared" si="11"/>
        <v>3.0625</v>
      </c>
      <c r="J71" s="14" t="str">
        <f t="shared" si="12"/>
        <v/>
      </c>
    </row>
    <row r="72" spans="5:10" x14ac:dyDescent="0.3">
      <c r="E72" s="16">
        <f t="shared" si="8"/>
        <v>2.0199999999999938</v>
      </c>
      <c r="F72" s="17">
        <f t="shared" si="9"/>
        <v>4.0803999999999752</v>
      </c>
      <c r="G72" s="16">
        <f t="shared" si="10"/>
        <v>1.75</v>
      </c>
      <c r="H72" s="17">
        <f t="shared" si="11"/>
        <v>3.0625</v>
      </c>
      <c r="J72" s="14" t="str">
        <f t="shared" si="12"/>
        <v/>
      </c>
    </row>
    <row r="73" spans="5:10" x14ac:dyDescent="0.3">
      <c r="E73" s="16">
        <f t="shared" si="8"/>
        <v>2.0349999999999939</v>
      </c>
      <c r="F73" s="17">
        <f t="shared" si="9"/>
        <v>4.1412249999999755</v>
      </c>
      <c r="G73" s="16">
        <f t="shared" si="10"/>
        <v>1.75</v>
      </c>
      <c r="H73" s="17">
        <f t="shared" si="11"/>
        <v>3.0625</v>
      </c>
      <c r="J73" s="14" t="str">
        <f t="shared" si="12"/>
        <v/>
      </c>
    </row>
    <row r="74" spans="5:10" x14ac:dyDescent="0.3">
      <c r="E74" s="16">
        <f t="shared" si="8"/>
        <v>2.049999999999994</v>
      </c>
      <c r="F74" s="17">
        <f t="shared" si="9"/>
        <v>4.2024999999999757</v>
      </c>
      <c r="G74" s="16">
        <f t="shared" si="10"/>
        <v>1.75</v>
      </c>
      <c r="H74" s="17">
        <f t="shared" si="11"/>
        <v>3.0625</v>
      </c>
      <c r="J74" s="14" t="str">
        <f t="shared" si="12"/>
        <v/>
      </c>
    </row>
    <row r="75" spans="5:10" x14ac:dyDescent="0.3">
      <c r="E75" s="16">
        <f t="shared" si="8"/>
        <v>2.0649999999999942</v>
      </c>
      <c r="F75" s="17">
        <f t="shared" si="9"/>
        <v>4.2642249999999757</v>
      </c>
      <c r="G75" s="16">
        <f t="shared" si="10"/>
        <v>1.75</v>
      </c>
      <c r="H75" s="17">
        <f t="shared" si="11"/>
        <v>3.0625</v>
      </c>
      <c r="J75" s="14" t="str">
        <f t="shared" si="12"/>
        <v/>
      </c>
    </row>
    <row r="76" spans="5:10" x14ac:dyDescent="0.3">
      <c r="E76" s="16">
        <f t="shared" si="8"/>
        <v>2.0799999999999943</v>
      </c>
      <c r="F76" s="17">
        <f t="shared" si="9"/>
        <v>4.3263999999999765</v>
      </c>
      <c r="G76" s="16">
        <f t="shared" si="10"/>
        <v>1.75</v>
      </c>
      <c r="H76" s="17">
        <f t="shared" si="11"/>
        <v>3.0625</v>
      </c>
      <c r="J76" s="14" t="str">
        <f t="shared" si="12"/>
        <v/>
      </c>
    </row>
    <row r="77" spans="5:10" x14ac:dyDescent="0.3">
      <c r="E77" s="16">
        <f t="shared" si="8"/>
        <v>2.0949999999999944</v>
      </c>
      <c r="F77" s="17">
        <f t="shared" si="9"/>
        <v>4.3890249999999762</v>
      </c>
      <c r="G77" s="16">
        <f t="shared" si="10"/>
        <v>1.75</v>
      </c>
      <c r="H77" s="17">
        <f t="shared" si="11"/>
        <v>3.0625</v>
      </c>
      <c r="J77" s="14" t="str">
        <f t="shared" si="12"/>
        <v/>
      </c>
    </row>
    <row r="78" spans="5:10" x14ac:dyDescent="0.3">
      <c r="E78" s="16">
        <f t="shared" si="8"/>
        <v>2.1099999999999945</v>
      </c>
      <c r="F78" s="17">
        <f t="shared" si="9"/>
        <v>4.4520999999999766</v>
      </c>
      <c r="G78" s="16">
        <f t="shared" si="10"/>
        <v>1.75</v>
      </c>
      <c r="H78" s="17">
        <f t="shared" si="11"/>
        <v>3.0625</v>
      </c>
      <c r="J78" s="14" t="str">
        <f t="shared" si="12"/>
        <v/>
      </c>
    </row>
    <row r="79" spans="5:10" x14ac:dyDescent="0.3">
      <c r="E79" s="16">
        <f t="shared" si="8"/>
        <v>2.1249999999999947</v>
      </c>
      <c r="F79" s="17">
        <f t="shared" si="9"/>
        <v>4.5156249999999769</v>
      </c>
      <c r="G79" s="16">
        <f t="shared" si="10"/>
        <v>1.75</v>
      </c>
      <c r="H79" s="17">
        <f t="shared" si="11"/>
        <v>3.0625</v>
      </c>
      <c r="J79" s="14" t="str">
        <f t="shared" si="12"/>
        <v/>
      </c>
    </row>
    <row r="80" spans="5:10" x14ac:dyDescent="0.3">
      <c r="E80" s="16">
        <f t="shared" si="8"/>
        <v>2.1399999999999948</v>
      </c>
      <c r="F80" s="17">
        <f t="shared" si="9"/>
        <v>4.5795999999999779</v>
      </c>
      <c r="G80" s="16">
        <f t="shared" si="10"/>
        <v>2.125</v>
      </c>
      <c r="H80" s="17">
        <f t="shared" si="11"/>
        <v>4.515625</v>
      </c>
      <c r="J80" s="14">
        <f t="shared" si="12"/>
        <v>1.693359375</v>
      </c>
    </row>
    <row r="81" spans="5:10" x14ac:dyDescent="0.3">
      <c r="E81" s="16">
        <f t="shared" si="8"/>
        <v>2.1549999999999949</v>
      </c>
      <c r="F81" s="17">
        <f t="shared" si="9"/>
        <v>4.6440249999999779</v>
      </c>
      <c r="G81" s="16">
        <f t="shared" si="10"/>
        <v>2.125</v>
      </c>
      <c r="H81" s="17">
        <f t="shared" si="11"/>
        <v>4.515625</v>
      </c>
      <c r="J81" s="14" t="str">
        <f t="shared" si="12"/>
        <v/>
      </c>
    </row>
    <row r="82" spans="5:10" x14ac:dyDescent="0.3">
      <c r="E82" s="16">
        <f t="shared" si="8"/>
        <v>2.169999999999995</v>
      </c>
      <c r="F82" s="17">
        <f t="shared" si="9"/>
        <v>4.7088999999999785</v>
      </c>
      <c r="G82" s="16">
        <f t="shared" si="10"/>
        <v>2.125</v>
      </c>
      <c r="H82" s="17">
        <f t="shared" si="11"/>
        <v>4.515625</v>
      </c>
      <c r="J82" s="14" t="str">
        <f t="shared" si="12"/>
        <v/>
      </c>
    </row>
    <row r="83" spans="5:10" x14ac:dyDescent="0.3">
      <c r="E83" s="16">
        <f t="shared" si="8"/>
        <v>2.1849999999999952</v>
      </c>
      <c r="F83" s="17">
        <f t="shared" si="9"/>
        <v>4.7742249999999791</v>
      </c>
      <c r="G83" s="16">
        <f t="shared" si="10"/>
        <v>2.125</v>
      </c>
      <c r="H83" s="17">
        <f t="shared" si="11"/>
        <v>4.515625</v>
      </c>
      <c r="J83" s="14" t="str">
        <f t="shared" si="12"/>
        <v/>
      </c>
    </row>
    <row r="84" spans="5:10" x14ac:dyDescent="0.3">
      <c r="E84" s="16">
        <f t="shared" si="8"/>
        <v>2.1999999999999953</v>
      </c>
      <c r="F84" s="17">
        <f t="shared" si="9"/>
        <v>4.8399999999999794</v>
      </c>
      <c r="G84" s="16">
        <f t="shared" si="10"/>
        <v>2.125</v>
      </c>
      <c r="H84" s="17">
        <f t="shared" si="11"/>
        <v>4.515625</v>
      </c>
      <c r="J84" s="14" t="str">
        <f t="shared" si="12"/>
        <v/>
      </c>
    </row>
    <row r="85" spans="5:10" x14ac:dyDescent="0.3">
      <c r="E85" s="16">
        <f t="shared" si="8"/>
        <v>2.2149999999999954</v>
      </c>
      <c r="F85" s="17">
        <f t="shared" si="9"/>
        <v>4.9062249999999796</v>
      </c>
      <c r="G85" s="16">
        <f t="shared" si="10"/>
        <v>2.125</v>
      </c>
      <c r="H85" s="17">
        <f t="shared" si="11"/>
        <v>4.515625</v>
      </c>
      <c r="J85" s="14" t="str">
        <f t="shared" si="12"/>
        <v/>
      </c>
    </row>
    <row r="86" spans="5:10" x14ac:dyDescent="0.3">
      <c r="E86" s="16">
        <f t="shared" si="8"/>
        <v>2.2299999999999955</v>
      </c>
      <c r="F86" s="17">
        <f t="shared" si="9"/>
        <v>4.9728999999999806</v>
      </c>
      <c r="G86" s="16">
        <f t="shared" si="10"/>
        <v>2.125</v>
      </c>
      <c r="H86" s="17">
        <f t="shared" si="11"/>
        <v>4.515625</v>
      </c>
      <c r="J86" s="14" t="str">
        <f t="shared" si="12"/>
        <v/>
      </c>
    </row>
    <row r="87" spans="5:10" x14ac:dyDescent="0.3">
      <c r="E87" s="16">
        <f t="shared" si="8"/>
        <v>2.2449999999999957</v>
      </c>
      <c r="F87" s="17">
        <f t="shared" si="9"/>
        <v>5.0400249999999804</v>
      </c>
      <c r="G87" s="16">
        <f t="shared" si="10"/>
        <v>2.125</v>
      </c>
      <c r="H87" s="17">
        <f t="shared" si="11"/>
        <v>4.515625</v>
      </c>
      <c r="J87" s="14" t="str">
        <f t="shared" si="12"/>
        <v/>
      </c>
    </row>
    <row r="88" spans="5:10" x14ac:dyDescent="0.3">
      <c r="E88" s="16">
        <f t="shared" si="8"/>
        <v>2.2599999999999958</v>
      </c>
      <c r="F88" s="17">
        <f t="shared" si="9"/>
        <v>5.107599999999981</v>
      </c>
      <c r="G88" s="16">
        <f t="shared" si="10"/>
        <v>2.125</v>
      </c>
      <c r="H88" s="17">
        <f t="shared" si="11"/>
        <v>4.515625</v>
      </c>
      <c r="J88" s="14" t="str">
        <f t="shared" si="12"/>
        <v/>
      </c>
    </row>
    <row r="89" spans="5:10" x14ac:dyDescent="0.3">
      <c r="E89" s="16">
        <f t="shared" si="8"/>
        <v>2.2749999999999959</v>
      </c>
      <c r="F89" s="17">
        <f t="shared" si="9"/>
        <v>5.1756249999999815</v>
      </c>
      <c r="G89" s="16">
        <f t="shared" si="10"/>
        <v>2.125</v>
      </c>
      <c r="H89" s="17">
        <f t="shared" si="11"/>
        <v>4.515625</v>
      </c>
      <c r="J89" s="14" t="str">
        <f t="shared" si="12"/>
        <v/>
      </c>
    </row>
    <row r="90" spans="5:10" x14ac:dyDescent="0.3">
      <c r="E90" s="16">
        <f t="shared" si="8"/>
        <v>2.289999999999996</v>
      </c>
      <c r="F90" s="17">
        <f t="shared" si="9"/>
        <v>5.2440999999999818</v>
      </c>
      <c r="G90" s="16">
        <f t="shared" si="10"/>
        <v>2.125</v>
      </c>
      <c r="H90" s="17">
        <f t="shared" si="11"/>
        <v>4.515625</v>
      </c>
      <c r="J90" s="14" t="str">
        <f t="shared" si="12"/>
        <v/>
      </c>
    </row>
    <row r="91" spans="5:10" x14ac:dyDescent="0.3">
      <c r="E91" s="16">
        <f t="shared" si="8"/>
        <v>2.3049999999999962</v>
      </c>
      <c r="F91" s="17">
        <f t="shared" si="9"/>
        <v>5.3130249999999819</v>
      </c>
      <c r="G91" s="16">
        <f t="shared" si="10"/>
        <v>2.125</v>
      </c>
      <c r="H91" s="17">
        <f t="shared" si="11"/>
        <v>4.515625</v>
      </c>
      <c r="J91" s="14" t="str">
        <f t="shared" si="12"/>
        <v/>
      </c>
    </row>
    <row r="92" spans="5:10" x14ac:dyDescent="0.3">
      <c r="E92" s="16">
        <f t="shared" si="8"/>
        <v>2.3199999999999963</v>
      </c>
      <c r="F92" s="17">
        <f t="shared" si="9"/>
        <v>5.3823999999999828</v>
      </c>
      <c r="G92" s="16">
        <f t="shared" si="10"/>
        <v>2.125</v>
      </c>
      <c r="H92" s="17">
        <f t="shared" si="11"/>
        <v>4.515625</v>
      </c>
      <c r="J92" s="14" t="str">
        <f t="shared" si="12"/>
        <v/>
      </c>
    </row>
    <row r="93" spans="5:10" x14ac:dyDescent="0.3">
      <c r="E93" s="16">
        <f t="shared" si="8"/>
        <v>2.3349999999999964</v>
      </c>
      <c r="F93" s="17">
        <f t="shared" si="9"/>
        <v>5.4522249999999834</v>
      </c>
      <c r="G93" s="16">
        <f t="shared" si="10"/>
        <v>2.125</v>
      </c>
      <c r="H93" s="17">
        <f t="shared" si="11"/>
        <v>4.515625</v>
      </c>
      <c r="J93" s="14" t="str">
        <f t="shared" si="12"/>
        <v/>
      </c>
    </row>
    <row r="94" spans="5:10" x14ac:dyDescent="0.3">
      <c r="E94" s="16">
        <f t="shared" si="8"/>
        <v>2.3499999999999965</v>
      </c>
      <c r="F94" s="17">
        <f t="shared" si="9"/>
        <v>5.522499999999984</v>
      </c>
      <c r="G94" s="16">
        <f t="shared" si="10"/>
        <v>2.125</v>
      </c>
      <c r="H94" s="17">
        <f t="shared" si="11"/>
        <v>4.515625</v>
      </c>
      <c r="J94" s="14" t="str">
        <f t="shared" si="12"/>
        <v/>
      </c>
    </row>
    <row r="95" spans="5:10" x14ac:dyDescent="0.3">
      <c r="E95" s="16">
        <f t="shared" si="8"/>
        <v>2.3649999999999967</v>
      </c>
      <c r="F95" s="17">
        <f t="shared" si="9"/>
        <v>5.5932249999999843</v>
      </c>
      <c r="G95" s="16">
        <f t="shared" si="10"/>
        <v>2.125</v>
      </c>
      <c r="H95" s="17">
        <f t="shared" si="11"/>
        <v>4.515625</v>
      </c>
      <c r="J95" s="14" t="str">
        <f t="shared" si="12"/>
        <v/>
      </c>
    </row>
    <row r="96" spans="5:10" x14ac:dyDescent="0.3">
      <c r="E96" s="16">
        <f t="shared" si="8"/>
        <v>2.3799999999999968</v>
      </c>
      <c r="F96" s="17">
        <f t="shared" si="9"/>
        <v>5.6643999999999846</v>
      </c>
      <c r="G96" s="16">
        <f t="shared" si="10"/>
        <v>2.125</v>
      </c>
      <c r="H96" s="17">
        <f t="shared" si="11"/>
        <v>4.515625</v>
      </c>
      <c r="J96" s="14" t="str">
        <f t="shared" si="12"/>
        <v/>
      </c>
    </row>
    <row r="97" spans="5:10" x14ac:dyDescent="0.3">
      <c r="E97" s="16">
        <f t="shared" si="8"/>
        <v>2.3949999999999969</v>
      </c>
      <c r="F97" s="17">
        <f t="shared" si="9"/>
        <v>5.7360249999999855</v>
      </c>
      <c r="G97" s="16">
        <f t="shared" si="10"/>
        <v>2.125</v>
      </c>
      <c r="H97" s="17">
        <f t="shared" si="11"/>
        <v>4.515625</v>
      </c>
      <c r="J97" s="14" t="str">
        <f t="shared" si="12"/>
        <v/>
      </c>
    </row>
    <row r="98" spans="5:10" x14ac:dyDescent="0.3">
      <c r="E98" s="16">
        <f t="shared" si="8"/>
        <v>2.409999999999997</v>
      </c>
      <c r="F98" s="17">
        <f t="shared" si="9"/>
        <v>5.8080999999999854</v>
      </c>
      <c r="G98" s="16">
        <f t="shared" si="10"/>
        <v>2.125</v>
      </c>
      <c r="H98" s="17">
        <f t="shared" si="11"/>
        <v>4.515625</v>
      </c>
      <c r="J98" s="14" t="str">
        <f t="shared" si="12"/>
        <v/>
      </c>
    </row>
    <row r="99" spans="5:10" x14ac:dyDescent="0.3">
      <c r="E99" s="16">
        <f t="shared" si="8"/>
        <v>2.4249999999999972</v>
      </c>
      <c r="F99" s="17">
        <f t="shared" si="9"/>
        <v>5.880624999999986</v>
      </c>
      <c r="G99" s="16">
        <f t="shared" si="10"/>
        <v>2.125</v>
      </c>
      <c r="H99" s="17">
        <f t="shared" si="11"/>
        <v>4.515625</v>
      </c>
      <c r="J99" s="14" t="str">
        <f t="shared" si="12"/>
        <v/>
      </c>
    </row>
    <row r="100" spans="5:10" x14ac:dyDescent="0.3">
      <c r="E100" s="16">
        <f t="shared" si="8"/>
        <v>2.4399999999999973</v>
      </c>
      <c r="F100" s="17">
        <f t="shared" si="9"/>
        <v>5.9535999999999865</v>
      </c>
      <c r="G100" s="16">
        <f t="shared" si="10"/>
        <v>2.125</v>
      </c>
      <c r="H100" s="17">
        <f t="shared" si="11"/>
        <v>4.515625</v>
      </c>
      <c r="J100" s="14" t="str">
        <f t="shared" si="12"/>
        <v/>
      </c>
    </row>
    <row r="101" spans="5:10" x14ac:dyDescent="0.3">
      <c r="E101" s="16">
        <f t="shared" ref="E101:E132" si="13">E100+($C$20-$C$19)/200</f>
        <v>2.4549999999999974</v>
      </c>
      <c r="F101" s="17">
        <f t="shared" si="9"/>
        <v>6.0270249999999876</v>
      </c>
      <c r="G101" s="16">
        <f t="shared" ref="G101:G132" si="14">IF($C$11="right",IF(E101&lt;G100,G100,G100+$C$23),IF($C$11="left",IF(E101&lt;G100+$C$23,G100,G100+$C$23),IF($C$11="mid",IF(E101&lt;G100+$C$23/2,G100,G100+$C$23),"error?")))</f>
        <v>2.125</v>
      </c>
      <c r="H101" s="17">
        <f t="shared" si="11"/>
        <v>4.515625</v>
      </c>
      <c r="J101" s="14" t="str">
        <f t="shared" ref="J101:J132" si="15">IF(H101=H100,"",($C$23)*H101)</f>
        <v/>
      </c>
    </row>
    <row r="102" spans="5:10" x14ac:dyDescent="0.3">
      <c r="E102" s="16">
        <f t="shared" si="13"/>
        <v>2.4699999999999975</v>
      </c>
      <c r="F102" s="17">
        <f t="shared" si="9"/>
        <v>6.1008999999999878</v>
      </c>
      <c r="G102" s="16">
        <f t="shared" si="14"/>
        <v>2.125</v>
      </c>
      <c r="H102" s="17">
        <f t="shared" si="11"/>
        <v>4.515625</v>
      </c>
      <c r="J102" s="14" t="str">
        <f t="shared" si="15"/>
        <v/>
      </c>
    </row>
    <row r="103" spans="5:10" x14ac:dyDescent="0.3">
      <c r="E103" s="16">
        <f t="shared" si="13"/>
        <v>2.4849999999999977</v>
      </c>
      <c r="F103" s="17">
        <f t="shared" si="9"/>
        <v>6.1752249999999886</v>
      </c>
      <c r="G103" s="16">
        <f t="shared" si="14"/>
        <v>2.125</v>
      </c>
      <c r="H103" s="17">
        <f t="shared" si="11"/>
        <v>4.515625</v>
      </c>
      <c r="J103" s="14" t="str">
        <f t="shared" si="15"/>
        <v/>
      </c>
    </row>
    <row r="104" spans="5:10" x14ac:dyDescent="0.3">
      <c r="E104" s="16">
        <f t="shared" si="13"/>
        <v>2.4999999999999978</v>
      </c>
      <c r="F104" s="17">
        <f t="shared" si="9"/>
        <v>6.2499999999999893</v>
      </c>
      <c r="G104" s="16">
        <f t="shared" si="14"/>
        <v>2.5</v>
      </c>
      <c r="H104" s="17">
        <f t="shared" si="11"/>
        <v>6.25</v>
      </c>
      <c r="J104" s="14">
        <f t="shared" si="15"/>
        <v>2.34375</v>
      </c>
    </row>
    <row r="105" spans="5:10" x14ac:dyDescent="0.3">
      <c r="E105" s="16">
        <f t="shared" si="13"/>
        <v>2.5149999999999979</v>
      </c>
      <c r="F105" s="17">
        <f t="shared" si="9"/>
        <v>6.3252249999999899</v>
      </c>
      <c r="G105" s="16">
        <f t="shared" si="14"/>
        <v>2.5</v>
      </c>
      <c r="H105" s="17">
        <f t="shared" si="11"/>
        <v>6.25</v>
      </c>
      <c r="J105" s="14" t="str">
        <f t="shared" si="15"/>
        <v/>
      </c>
    </row>
    <row r="106" spans="5:10" x14ac:dyDescent="0.3">
      <c r="E106" s="16">
        <f t="shared" si="13"/>
        <v>2.529999999999998</v>
      </c>
      <c r="F106" s="17">
        <f t="shared" si="9"/>
        <v>6.4008999999999903</v>
      </c>
      <c r="G106" s="16">
        <f t="shared" si="14"/>
        <v>2.5</v>
      </c>
      <c r="H106" s="17">
        <f t="shared" si="11"/>
        <v>6.25</v>
      </c>
      <c r="J106" s="14" t="str">
        <f t="shared" si="15"/>
        <v/>
      </c>
    </row>
    <row r="107" spans="5:10" x14ac:dyDescent="0.3">
      <c r="E107" s="16">
        <f t="shared" si="13"/>
        <v>2.5449999999999982</v>
      </c>
      <c r="F107" s="17">
        <f t="shared" si="9"/>
        <v>6.4770249999999905</v>
      </c>
      <c r="G107" s="16">
        <f t="shared" si="14"/>
        <v>2.5</v>
      </c>
      <c r="H107" s="17">
        <f t="shared" si="11"/>
        <v>6.25</v>
      </c>
      <c r="J107" s="14" t="str">
        <f t="shared" si="15"/>
        <v/>
      </c>
    </row>
    <row r="108" spans="5:10" x14ac:dyDescent="0.3">
      <c r="E108" s="16">
        <f t="shared" si="13"/>
        <v>2.5599999999999983</v>
      </c>
      <c r="F108" s="17">
        <f t="shared" si="9"/>
        <v>6.5535999999999914</v>
      </c>
      <c r="G108" s="16">
        <f t="shared" si="14"/>
        <v>2.5</v>
      </c>
      <c r="H108" s="17">
        <f t="shared" si="11"/>
        <v>6.25</v>
      </c>
      <c r="J108" s="14" t="str">
        <f t="shared" si="15"/>
        <v/>
      </c>
    </row>
    <row r="109" spans="5:10" x14ac:dyDescent="0.3">
      <c r="E109" s="16">
        <f t="shared" si="13"/>
        <v>2.5749999999999984</v>
      </c>
      <c r="F109" s="17">
        <f t="shared" si="9"/>
        <v>6.6306249999999913</v>
      </c>
      <c r="G109" s="16">
        <f t="shared" si="14"/>
        <v>2.5</v>
      </c>
      <c r="H109" s="17">
        <f t="shared" si="11"/>
        <v>6.25</v>
      </c>
      <c r="J109" s="14" t="str">
        <f t="shared" si="15"/>
        <v/>
      </c>
    </row>
    <row r="110" spans="5:10" x14ac:dyDescent="0.3">
      <c r="E110" s="16">
        <f t="shared" si="13"/>
        <v>2.5899999999999985</v>
      </c>
      <c r="F110" s="17">
        <f t="shared" si="9"/>
        <v>6.708099999999992</v>
      </c>
      <c r="G110" s="16">
        <f t="shared" si="14"/>
        <v>2.5</v>
      </c>
      <c r="H110" s="17">
        <f t="shared" si="11"/>
        <v>6.25</v>
      </c>
      <c r="J110" s="14" t="str">
        <f t="shared" si="15"/>
        <v/>
      </c>
    </row>
    <row r="111" spans="5:10" x14ac:dyDescent="0.3">
      <c r="E111" s="16">
        <f t="shared" si="13"/>
        <v>2.6049999999999986</v>
      </c>
      <c r="F111" s="17">
        <f t="shared" si="9"/>
        <v>6.7860249999999933</v>
      </c>
      <c r="G111" s="16">
        <f t="shared" si="14"/>
        <v>2.5</v>
      </c>
      <c r="H111" s="17">
        <f t="shared" si="11"/>
        <v>6.25</v>
      </c>
      <c r="J111" s="14" t="str">
        <f t="shared" si="15"/>
        <v/>
      </c>
    </row>
    <row r="112" spans="5:10" x14ac:dyDescent="0.3">
      <c r="E112" s="16">
        <f t="shared" si="13"/>
        <v>2.6199999999999988</v>
      </c>
      <c r="F112" s="17">
        <f t="shared" si="9"/>
        <v>6.8643999999999936</v>
      </c>
      <c r="G112" s="16">
        <f t="shared" si="14"/>
        <v>2.5</v>
      </c>
      <c r="H112" s="17">
        <f t="shared" si="11"/>
        <v>6.25</v>
      </c>
      <c r="J112" s="14" t="str">
        <f t="shared" si="15"/>
        <v/>
      </c>
    </row>
    <row r="113" spans="5:10" x14ac:dyDescent="0.3">
      <c r="E113" s="16">
        <f t="shared" si="13"/>
        <v>2.6349999999999989</v>
      </c>
      <c r="F113" s="17">
        <f t="shared" si="9"/>
        <v>6.9432249999999938</v>
      </c>
      <c r="G113" s="16">
        <f t="shared" si="14"/>
        <v>2.5</v>
      </c>
      <c r="H113" s="17">
        <f t="shared" si="11"/>
        <v>6.25</v>
      </c>
      <c r="J113" s="14" t="str">
        <f t="shared" si="15"/>
        <v/>
      </c>
    </row>
    <row r="114" spans="5:10" x14ac:dyDescent="0.3">
      <c r="E114" s="16">
        <f t="shared" si="13"/>
        <v>2.649999999999999</v>
      </c>
      <c r="F114" s="17">
        <f t="shared" si="9"/>
        <v>7.0224999999999946</v>
      </c>
      <c r="G114" s="16">
        <f t="shared" si="14"/>
        <v>2.5</v>
      </c>
      <c r="H114" s="17">
        <f t="shared" si="11"/>
        <v>6.25</v>
      </c>
      <c r="J114" s="14" t="str">
        <f t="shared" si="15"/>
        <v/>
      </c>
    </row>
    <row r="115" spans="5:10" x14ac:dyDescent="0.3">
      <c r="E115" s="16">
        <f t="shared" si="13"/>
        <v>2.6649999999999991</v>
      </c>
      <c r="F115" s="17">
        <f t="shared" si="9"/>
        <v>7.1022249999999953</v>
      </c>
      <c r="G115" s="16">
        <f t="shared" si="14"/>
        <v>2.5</v>
      </c>
      <c r="H115" s="17">
        <f t="shared" si="11"/>
        <v>6.25</v>
      </c>
      <c r="J115" s="14" t="str">
        <f t="shared" si="15"/>
        <v/>
      </c>
    </row>
    <row r="116" spans="5:10" x14ac:dyDescent="0.3">
      <c r="E116" s="16">
        <f t="shared" si="13"/>
        <v>2.6799999999999993</v>
      </c>
      <c r="F116" s="17">
        <f t="shared" si="9"/>
        <v>7.1823999999999959</v>
      </c>
      <c r="G116" s="16">
        <f t="shared" si="14"/>
        <v>2.5</v>
      </c>
      <c r="H116" s="17">
        <f t="shared" si="11"/>
        <v>6.25</v>
      </c>
      <c r="J116" s="14" t="str">
        <f t="shared" si="15"/>
        <v/>
      </c>
    </row>
    <row r="117" spans="5:10" x14ac:dyDescent="0.3">
      <c r="E117" s="16">
        <f t="shared" si="13"/>
        <v>2.6949999999999994</v>
      </c>
      <c r="F117" s="17">
        <f t="shared" si="9"/>
        <v>7.2630249999999972</v>
      </c>
      <c r="G117" s="16">
        <f t="shared" si="14"/>
        <v>2.5</v>
      </c>
      <c r="H117" s="17">
        <f t="shared" si="11"/>
        <v>6.25</v>
      </c>
      <c r="J117" s="14" t="str">
        <f t="shared" si="15"/>
        <v/>
      </c>
    </row>
    <row r="118" spans="5:10" x14ac:dyDescent="0.3">
      <c r="E118" s="16">
        <f t="shared" si="13"/>
        <v>2.7099999999999995</v>
      </c>
      <c r="F118" s="17">
        <f t="shared" si="9"/>
        <v>7.3440999999999974</v>
      </c>
      <c r="G118" s="16">
        <f t="shared" si="14"/>
        <v>2.5</v>
      </c>
      <c r="H118" s="17">
        <f t="shared" si="11"/>
        <v>6.25</v>
      </c>
      <c r="J118" s="14" t="str">
        <f t="shared" si="15"/>
        <v/>
      </c>
    </row>
    <row r="119" spans="5:10" x14ac:dyDescent="0.3">
      <c r="E119" s="16">
        <f t="shared" si="13"/>
        <v>2.7249999999999996</v>
      </c>
      <c r="F119" s="17">
        <f t="shared" si="9"/>
        <v>7.4256249999999984</v>
      </c>
      <c r="G119" s="16">
        <f t="shared" si="14"/>
        <v>2.5</v>
      </c>
      <c r="H119" s="17">
        <f t="shared" si="11"/>
        <v>6.25</v>
      </c>
      <c r="J119" s="14" t="str">
        <f t="shared" si="15"/>
        <v/>
      </c>
    </row>
    <row r="120" spans="5:10" x14ac:dyDescent="0.3">
      <c r="E120" s="16">
        <f t="shared" si="13"/>
        <v>2.7399999999999998</v>
      </c>
      <c r="F120" s="17">
        <f t="shared" si="9"/>
        <v>7.5075999999999992</v>
      </c>
      <c r="G120" s="16">
        <f t="shared" si="14"/>
        <v>2.5</v>
      </c>
      <c r="H120" s="17">
        <f t="shared" si="11"/>
        <v>6.25</v>
      </c>
      <c r="J120" s="14" t="str">
        <f t="shared" si="15"/>
        <v/>
      </c>
    </row>
    <row r="121" spans="5:10" x14ac:dyDescent="0.3">
      <c r="E121" s="16">
        <f t="shared" si="13"/>
        <v>2.7549999999999999</v>
      </c>
      <c r="F121" s="17">
        <f t="shared" si="9"/>
        <v>7.5900249999999998</v>
      </c>
      <c r="G121" s="16">
        <f t="shared" si="14"/>
        <v>2.5</v>
      </c>
      <c r="H121" s="17">
        <f t="shared" si="11"/>
        <v>6.25</v>
      </c>
      <c r="J121" s="14" t="str">
        <f t="shared" si="15"/>
        <v/>
      </c>
    </row>
    <row r="122" spans="5:10" x14ac:dyDescent="0.3">
      <c r="E122" s="16">
        <f t="shared" si="13"/>
        <v>2.77</v>
      </c>
      <c r="F122" s="17">
        <f t="shared" si="9"/>
        <v>7.6729000000000003</v>
      </c>
      <c r="G122" s="16">
        <f t="shared" si="14"/>
        <v>2.5</v>
      </c>
      <c r="H122" s="17">
        <f t="shared" si="11"/>
        <v>6.25</v>
      </c>
      <c r="J122" s="14" t="str">
        <f t="shared" si="15"/>
        <v/>
      </c>
    </row>
    <row r="123" spans="5:10" x14ac:dyDescent="0.3">
      <c r="E123" s="16">
        <f t="shared" si="13"/>
        <v>2.7850000000000001</v>
      </c>
      <c r="F123" s="17">
        <f t="shared" si="9"/>
        <v>7.7562250000000006</v>
      </c>
      <c r="G123" s="16">
        <f t="shared" si="14"/>
        <v>2.5</v>
      </c>
      <c r="H123" s="17">
        <f t="shared" si="11"/>
        <v>6.25</v>
      </c>
      <c r="J123" s="14" t="str">
        <f t="shared" si="15"/>
        <v/>
      </c>
    </row>
    <row r="124" spans="5:10" x14ac:dyDescent="0.3">
      <c r="E124" s="16">
        <f t="shared" si="13"/>
        <v>2.8000000000000003</v>
      </c>
      <c r="F124" s="17">
        <f t="shared" si="9"/>
        <v>7.8400000000000016</v>
      </c>
      <c r="G124" s="16">
        <f t="shared" si="14"/>
        <v>2.5</v>
      </c>
      <c r="H124" s="17">
        <f t="shared" si="11"/>
        <v>6.25</v>
      </c>
      <c r="J124" s="14" t="str">
        <f t="shared" si="15"/>
        <v/>
      </c>
    </row>
    <row r="125" spans="5:10" x14ac:dyDescent="0.3">
      <c r="E125" s="16">
        <f t="shared" si="13"/>
        <v>2.8150000000000004</v>
      </c>
      <c r="F125" s="17">
        <f t="shared" si="9"/>
        <v>7.9242250000000025</v>
      </c>
      <c r="G125" s="16">
        <f t="shared" si="14"/>
        <v>2.5</v>
      </c>
      <c r="H125" s="17">
        <f t="shared" si="11"/>
        <v>6.25</v>
      </c>
      <c r="J125" s="14" t="str">
        <f t="shared" si="15"/>
        <v/>
      </c>
    </row>
    <row r="126" spans="5:10" x14ac:dyDescent="0.3">
      <c r="E126" s="16">
        <f t="shared" si="13"/>
        <v>2.8300000000000005</v>
      </c>
      <c r="F126" s="17">
        <f t="shared" si="9"/>
        <v>8.0089000000000024</v>
      </c>
      <c r="G126" s="16">
        <f t="shared" si="14"/>
        <v>2.5</v>
      </c>
      <c r="H126" s="17">
        <f t="shared" si="11"/>
        <v>6.25</v>
      </c>
      <c r="J126" s="14" t="str">
        <f t="shared" si="15"/>
        <v/>
      </c>
    </row>
    <row r="127" spans="5:10" x14ac:dyDescent="0.3">
      <c r="E127" s="16">
        <f t="shared" si="13"/>
        <v>2.8450000000000006</v>
      </c>
      <c r="F127" s="17">
        <f t="shared" si="9"/>
        <v>8.0940250000000038</v>
      </c>
      <c r="G127" s="16">
        <f t="shared" si="14"/>
        <v>2.5</v>
      </c>
      <c r="H127" s="17">
        <f t="shared" si="11"/>
        <v>6.25</v>
      </c>
      <c r="J127" s="14" t="str">
        <f t="shared" si="15"/>
        <v/>
      </c>
    </row>
    <row r="128" spans="5:10" x14ac:dyDescent="0.3">
      <c r="E128" s="16">
        <f t="shared" si="13"/>
        <v>2.8600000000000008</v>
      </c>
      <c r="F128" s="17">
        <f t="shared" si="9"/>
        <v>8.1796000000000042</v>
      </c>
      <c r="G128" s="16">
        <f t="shared" si="14"/>
        <v>2.5</v>
      </c>
      <c r="H128" s="17">
        <f t="shared" si="11"/>
        <v>6.25</v>
      </c>
      <c r="J128" s="14" t="str">
        <f t="shared" si="15"/>
        <v/>
      </c>
    </row>
    <row r="129" spans="5:10" x14ac:dyDescent="0.3">
      <c r="E129" s="16">
        <f t="shared" si="13"/>
        <v>2.8750000000000009</v>
      </c>
      <c r="F129" s="17">
        <f t="shared" si="9"/>
        <v>8.2656250000000053</v>
      </c>
      <c r="G129" s="16">
        <f t="shared" si="14"/>
        <v>2.875</v>
      </c>
      <c r="H129" s="17">
        <f t="shared" si="11"/>
        <v>8.265625</v>
      </c>
      <c r="J129" s="14">
        <f t="shared" si="15"/>
        <v>3.099609375</v>
      </c>
    </row>
    <row r="130" spans="5:10" x14ac:dyDescent="0.3">
      <c r="E130" s="16">
        <f t="shared" si="13"/>
        <v>2.890000000000001</v>
      </c>
      <c r="F130" s="17">
        <f t="shared" si="9"/>
        <v>8.3521000000000054</v>
      </c>
      <c r="G130" s="16">
        <f t="shared" si="14"/>
        <v>2.875</v>
      </c>
      <c r="H130" s="17">
        <f t="shared" si="11"/>
        <v>8.265625</v>
      </c>
      <c r="J130" s="14" t="str">
        <f t="shared" si="15"/>
        <v/>
      </c>
    </row>
    <row r="131" spans="5:10" x14ac:dyDescent="0.3">
      <c r="E131" s="16">
        <f t="shared" si="13"/>
        <v>2.9050000000000011</v>
      </c>
      <c r="F131" s="17">
        <f t="shared" si="9"/>
        <v>8.4390250000000062</v>
      </c>
      <c r="G131" s="16">
        <f t="shared" si="14"/>
        <v>2.875</v>
      </c>
      <c r="H131" s="17">
        <f t="shared" si="11"/>
        <v>8.265625</v>
      </c>
      <c r="J131" s="14" t="str">
        <f t="shared" si="15"/>
        <v/>
      </c>
    </row>
    <row r="132" spans="5:10" x14ac:dyDescent="0.3">
      <c r="E132" s="16">
        <f t="shared" si="13"/>
        <v>2.9200000000000013</v>
      </c>
      <c r="F132" s="17">
        <f t="shared" si="9"/>
        <v>8.5264000000000078</v>
      </c>
      <c r="G132" s="16">
        <f t="shared" si="14"/>
        <v>2.875</v>
      </c>
      <c r="H132" s="17">
        <f t="shared" si="11"/>
        <v>8.265625</v>
      </c>
      <c r="J132" s="14" t="str">
        <f t="shared" si="15"/>
        <v/>
      </c>
    </row>
    <row r="133" spans="5:10" x14ac:dyDescent="0.3">
      <c r="E133" s="16">
        <f t="shared" ref="E133:E164" si="16">E132+($C$20-$C$19)/200</f>
        <v>2.9350000000000014</v>
      </c>
      <c r="F133" s="17">
        <f t="shared" ref="F133:F196" si="17">E133^2</f>
        <v>8.6142250000000082</v>
      </c>
      <c r="G133" s="16">
        <f t="shared" ref="G133:G164" si="18">IF($C$11="right",IF(E133&lt;G132,G132,G132+$C$23),IF($C$11="left",IF(E133&lt;G132+$C$23,G132,G132+$C$23),IF($C$11="mid",IF(E133&lt;G132+$C$23/2,G132,G132+$C$23),"error?")))</f>
        <v>2.875</v>
      </c>
      <c r="H133" s="17">
        <f t="shared" ref="H133:H196" si="19">G133^2</f>
        <v>8.265625</v>
      </c>
      <c r="J133" s="14" t="str">
        <f t="shared" ref="J133:J164" si="20">IF(H133=H132,"",($C$23)*H133)</f>
        <v/>
      </c>
    </row>
    <row r="134" spans="5:10" x14ac:dyDescent="0.3">
      <c r="E134" s="16">
        <f t="shared" si="16"/>
        <v>2.9500000000000015</v>
      </c>
      <c r="F134" s="17">
        <f t="shared" si="17"/>
        <v>8.7025000000000095</v>
      </c>
      <c r="G134" s="16">
        <f t="shared" si="18"/>
        <v>2.875</v>
      </c>
      <c r="H134" s="17">
        <f t="shared" si="19"/>
        <v>8.265625</v>
      </c>
      <c r="J134" s="14" t="str">
        <f t="shared" si="20"/>
        <v/>
      </c>
    </row>
    <row r="135" spans="5:10" x14ac:dyDescent="0.3">
      <c r="E135" s="16">
        <f t="shared" si="16"/>
        <v>2.9650000000000016</v>
      </c>
      <c r="F135" s="17">
        <f t="shared" si="17"/>
        <v>8.7912250000000096</v>
      </c>
      <c r="G135" s="16">
        <f t="shared" si="18"/>
        <v>2.875</v>
      </c>
      <c r="H135" s="17">
        <f t="shared" si="19"/>
        <v>8.265625</v>
      </c>
      <c r="J135" s="14" t="str">
        <f t="shared" si="20"/>
        <v/>
      </c>
    </row>
    <row r="136" spans="5:10" x14ac:dyDescent="0.3">
      <c r="E136" s="16">
        <f t="shared" si="16"/>
        <v>2.9800000000000018</v>
      </c>
      <c r="F136" s="17">
        <f t="shared" si="17"/>
        <v>8.8804000000000105</v>
      </c>
      <c r="G136" s="16">
        <f t="shared" si="18"/>
        <v>2.875</v>
      </c>
      <c r="H136" s="17">
        <f t="shared" si="19"/>
        <v>8.265625</v>
      </c>
      <c r="J136" s="14" t="str">
        <f t="shared" si="20"/>
        <v/>
      </c>
    </row>
    <row r="137" spans="5:10" x14ac:dyDescent="0.3">
      <c r="E137" s="16">
        <f t="shared" si="16"/>
        <v>2.9950000000000019</v>
      </c>
      <c r="F137" s="17">
        <f t="shared" si="17"/>
        <v>8.9700250000000121</v>
      </c>
      <c r="G137" s="16">
        <f t="shared" si="18"/>
        <v>2.875</v>
      </c>
      <c r="H137" s="17">
        <f t="shared" si="19"/>
        <v>8.265625</v>
      </c>
      <c r="J137" s="14" t="str">
        <f t="shared" si="20"/>
        <v/>
      </c>
    </row>
    <row r="138" spans="5:10" x14ac:dyDescent="0.3">
      <c r="E138" s="16">
        <f t="shared" si="16"/>
        <v>3.010000000000002</v>
      </c>
      <c r="F138" s="17">
        <f t="shared" si="17"/>
        <v>9.0601000000000127</v>
      </c>
      <c r="G138" s="16">
        <f t="shared" si="18"/>
        <v>2.875</v>
      </c>
      <c r="H138" s="17">
        <f t="shared" si="19"/>
        <v>8.265625</v>
      </c>
      <c r="J138" s="14" t="str">
        <f t="shared" si="20"/>
        <v/>
      </c>
    </row>
    <row r="139" spans="5:10" x14ac:dyDescent="0.3">
      <c r="E139" s="16">
        <f t="shared" si="16"/>
        <v>3.0250000000000021</v>
      </c>
      <c r="F139" s="17">
        <f t="shared" si="17"/>
        <v>9.1506250000000122</v>
      </c>
      <c r="G139" s="16">
        <f t="shared" si="18"/>
        <v>2.875</v>
      </c>
      <c r="H139" s="17">
        <f t="shared" si="19"/>
        <v>8.265625</v>
      </c>
      <c r="J139" s="14" t="str">
        <f t="shared" si="20"/>
        <v/>
      </c>
    </row>
    <row r="140" spans="5:10" x14ac:dyDescent="0.3">
      <c r="E140" s="16">
        <f t="shared" si="16"/>
        <v>3.0400000000000023</v>
      </c>
      <c r="F140" s="17">
        <f t="shared" si="17"/>
        <v>9.2416000000000142</v>
      </c>
      <c r="G140" s="16">
        <f t="shared" si="18"/>
        <v>2.875</v>
      </c>
      <c r="H140" s="17">
        <f t="shared" si="19"/>
        <v>8.265625</v>
      </c>
      <c r="J140" s="14" t="str">
        <f t="shared" si="20"/>
        <v/>
      </c>
    </row>
    <row r="141" spans="5:10" x14ac:dyDescent="0.3">
      <c r="E141" s="16">
        <f t="shared" si="16"/>
        <v>3.0550000000000024</v>
      </c>
      <c r="F141" s="17">
        <f t="shared" si="17"/>
        <v>9.3330250000000152</v>
      </c>
      <c r="G141" s="16">
        <f t="shared" si="18"/>
        <v>2.875</v>
      </c>
      <c r="H141" s="17">
        <f t="shared" si="19"/>
        <v>8.265625</v>
      </c>
      <c r="J141" s="14" t="str">
        <f t="shared" si="20"/>
        <v/>
      </c>
    </row>
    <row r="142" spans="5:10" x14ac:dyDescent="0.3">
      <c r="E142" s="16">
        <f t="shared" si="16"/>
        <v>3.0700000000000025</v>
      </c>
      <c r="F142" s="17">
        <f t="shared" si="17"/>
        <v>9.4249000000000152</v>
      </c>
      <c r="G142" s="16">
        <f t="shared" si="18"/>
        <v>2.875</v>
      </c>
      <c r="H142" s="17">
        <f t="shared" si="19"/>
        <v>8.265625</v>
      </c>
      <c r="J142" s="14" t="str">
        <f t="shared" si="20"/>
        <v/>
      </c>
    </row>
    <row r="143" spans="5:10" x14ac:dyDescent="0.3">
      <c r="E143" s="16">
        <f t="shared" si="16"/>
        <v>3.0850000000000026</v>
      </c>
      <c r="F143" s="17">
        <f t="shared" si="17"/>
        <v>9.5172250000000158</v>
      </c>
      <c r="G143" s="16">
        <f t="shared" si="18"/>
        <v>2.875</v>
      </c>
      <c r="H143" s="17">
        <f t="shared" si="19"/>
        <v>8.265625</v>
      </c>
      <c r="J143" s="14" t="str">
        <f t="shared" si="20"/>
        <v/>
      </c>
    </row>
    <row r="144" spans="5:10" x14ac:dyDescent="0.3">
      <c r="E144" s="16">
        <f t="shared" si="16"/>
        <v>3.1000000000000028</v>
      </c>
      <c r="F144" s="17">
        <f t="shared" si="17"/>
        <v>9.6100000000000172</v>
      </c>
      <c r="G144" s="16">
        <f t="shared" si="18"/>
        <v>2.875</v>
      </c>
      <c r="H144" s="17">
        <f t="shared" si="19"/>
        <v>8.265625</v>
      </c>
      <c r="J144" s="14" t="str">
        <f t="shared" si="20"/>
        <v/>
      </c>
    </row>
    <row r="145" spans="5:10" x14ac:dyDescent="0.3">
      <c r="E145" s="16">
        <f t="shared" si="16"/>
        <v>3.1150000000000029</v>
      </c>
      <c r="F145" s="17">
        <f t="shared" si="17"/>
        <v>9.7032250000000175</v>
      </c>
      <c r="G145" s="16">
        <f t="shared" si="18"/>
        <v>2.875</v>
      </c>
      <c r="H145" s="17">
        <f t="shared" si="19"/>
        <v>8.265625</v>
      </c>
      <c r="J145" s="14" t="str">
        <f t="shared" si="20"/>
        <v/>
      </c>
    </row>
    <row r="146" spans="5:10" x14ac:dyDescent="0.3">
      <c r="E146" s="16">
        <f t="shared" si="16"/>
        <v>3.130000000000003</v>
      </c>
      <c r="F146" s="17">
        <f t="shared" si="17"/>
        <v>9.7969000000000186</v>
      </c>
      <c r="G146" s="16">
        <f t="shared" si="18"/>
        <v>2.875</v>
      </c>
      <c r="H146" s="17">
        <f t="shared" si="19"/>
        <v>8.265625</v>
      </c>
      <c r="J146" s="14" t="str">
        <f t="shared" si="20"/>
        <v/>
      </c>
    </row>
    <row r="147" spans="5:10" x14ac:dyDescent="0.3">
      <c r="E147" s="16">
        <f t="shared" si="16"/>
        <v>3.1450000000000031</v>
      </c>
      <c r="F147" s="17">
        <f t="shared" si="17"/>
        <v>9.8910250000000204</v>
      </c>
      <c r="G147" s="16">
        <f t="shared" si="18"/>
        <v>2.875</v>
      </c>
      <c r="H147" s="17">
        <f t="shared" si="19"/>
        <v>8.265625</v>
      </c>
      <c r="J147" s="14" t="str">
        <f t="shared" si="20"/>
        <v/>
      </c>
    </row>
    <row r="148" spans="5:10" x14ac:dyDescent="0.3">
      <c r="E148" s="16">
        <f t="shared" si="16"/>
        <v>3.1600000000000033</v>
      </c>
      <c r="F148" s="17">
        <f t="shared" si="17"/>
        <v>9.9856000000000211</v>
      </c>
      <c r="G148" s="16">
        <f t="shared" si="18"/>
        <v>2.875</v>
      </c>
      <c r="H148" s="17">
        <f t="shared" si="19"/>
        <v>8.265625</v>
      </c>
      <c r="J148" s="14" t="str">
        <f t="shared" si="20"/>
        <v/>
      </c>
    </row>
    <row r="149" spans="5:10" x14ac:dyDescent="0.3">
      <c r="E149" s="16">
        <f t="shared" si="16"/>
        <v>3.1750000000000034</v>
      </c>
      <c r="F149" s="17">
        <f t="shared" si="17"/>
        <v>10.080625000000021</v>
      </c>
      <c r="G149" s="16">
        <f t="shared" si="18"/>
        <v>2.875</v>
      </c>
      <c r="H149" s="17">
        <f t="shared" si="19"/>
        <v>8.265625</v>
      </c>
      <c r="J149" s="14" t="str">
        <f t="shared" si="20"/>
        <v/>
      </c>
    </row>
    <row r="150" spans="5:10" x14ac:dyDescent="0.3">
      <c r="E150" s="16">
        <f t="shared" si="16"/>
        <v>3.1900000000000035</v>
      </c>
      <c r="F150" s="17">
        <f t="shared" si="17"/>
        <v>10.176100000000023</v>
      </c>
      <c r="G150" s="16">
        <f t="shared" si="18"/>
        <v>2.875</v>
      </c>
      <c r="H150" s="17">
        <f t="shared" si="19"/>
        <v>8.265625</v>
      </c>
      <c r="J150" s="14" t="str">
        <f t="shared" si="20"/>
        <v/>
      </c>
    </row>
    <row r="151" spans="5:10" x14ac:dyDescent="0.3">
      <c r="E151" s="16">
        <f t="shared" si="16"/>
        <v>3.2050000000000036</v>
      </c>
      <c r="F151" s="17">
        <f t="shared" si="17"/>
        <v>10.272025000000022</v>
      </c>
      <c r="G151" s="16">
        <f t="shared" si="18"/>
        <v>2.875</v>
      </c>
      <c r="H151" s="17">
        <f t="shared" si="19"/>
        <v>8.265625</v>
      </c>
      <c r="J151" s="14" t="str">
        <f t="shared" si="20"/>
        <v/>
      </c>
    </row>
    <row r="152" spans="5:10" x14ac:dyDescent="0.3">
      <c r="E152" s="16">
        <f t="shared" si="16"/>
        <v>3.2200000000000037</v>
      </c>
      <c r="F152" s="17">
        <f t="shared" si="17"/>
        <v>10.368400000000024</v>
      </c>
      <c r="G152" s="16">
        <f t="shared" si="18"/>
        <v>2.875</v>
      </c>
      <c r="H152" s="17">
        <f t="shared" si="19"/>
        <v>8.265625</v>
      </c>
      <c r="J152" s="14" t="str">
        <f t="shared" si="20"/>
        <v/>
      </c>
    </row>
    <row r="153" spans="5:10" x14ac:dyDescent="0.3">
      <c r="E153" s="16">
        <f t="shared" si="16"/>
        <v>3.2350000000000039</v>
      </c>
      <c r="F153" s="17">
        <f t="shared" si="17"/>
        <v>10.465225000000025</v>
      </c>
      <c r="G153" s="16">
        <f t="shared" si="18"/>
        <v>2.875</v>
      </c>
      <c r="H153" s="17">
        <f t="shared" si="19"/>
        <v>8.265625</v>
      </c>
      <c r="J153" s="14" t="str">
        <f t="shared" si="20"/>
        <v/>
      </c>
    </row>
    <row r="154" spans="5:10" x14ac:dyDescent="0.3">
      <c r="E154" s="16">
        <f t="shared" si="16"/>
        <v>3.250000000000004</v>
      </c>
      <c r="F154" s="17">
        <f t="shared" si="17"/>
        <v>10.562500000000027</v>
      </c>
      <c r="G154" s="16">
        <f t="shared" si="18"/>
        <v>3.25</v>
      </c>
      <c r="H154" s="17">
        <f t="shared" si="19"/>
        <v>10.5625</v>
      </c>
      <c r="J154" s="14">
        <f t="shared" si="20"/>
        <v>3.9609375</v>
      </c>
    </row>
    <row r="155" spans="5:10" x14ac:dyDescent="0.3">
      <c r="E155" s="16">
        <f t="shared" si="16"/>
        <v>3.2650000000000041</v>
      </c>
      <c r="F155" s="17">
        <f t="shared" si="17"/>
        <v>10.660225000000027</v>
      </c>
      <c r="G155" s="16">
        <f t="shared" si="18"/>
        <v>3.25</v>
      </c>
      <c r="H155" s="17">
        <f t="shared" si="19"/>
        <v>10.5625</v>
      </c>
      <c r="J155" s="14" t="str">
        <f t="shared" si="20"/>
        <v/>
      </c>
    </row>
    <row r="156" spans="5:10" x14ac:dyDescent="0.3">
      <c r="E156" s="16">
        <f t="shared" si="16"/>
        <v>3.2800000000000042</v>
      </c>
      <c r="F156" s="17">
        <f t="shared" si="17"/>
        <v>10.758400000000028</v>
      </c>
      <c r="G156" s="16">
        <f t="shared" si="18"/>
        <v>3.25</v>
      </c>
      <c r="H156" s="17">
        <f t="shared" si="19"/>
        <v>10.5625</v>
      </c>
      <c r="J156" s="14" t="str">
        <f t="shared" si="20"/>
        <v/>
      </c>
    </row>
    <row r="157" spans="5:10" x14ac:dyDescent="0.3">
      <c r="E157" s="16">
        <f t="shared" si="16"/>
        <v>3.2950000000000044</v>
      </c>
      <c r="F157" s="17">
        <f t="shared" si="17"/>
        <v>10.857025000000029</v>
      </c>
      <c r="G157" s="16">
        <f t="shared" si="18"/>
        <v>3.25</v>
      </c>
      <c r="H157" s="17">
        <f t="shared" si="19"/>
        <v>10.5625</v>
      </c>
      <c r="J157" s="14" t="str">
        <f t="shared" si="20"/>
        <v/>
      </c>
    </row>
    <row r="158" spans="5:10" x14ac:dyDescent="0.3">
      <c r="E158" s="16">
        <f t="shared" si="16"/>
        <v>3.3100000000000045</v>
      </c>
      <c r="F158" s="17">
        <f t="shared" si="17"/>
        <v>10.956100000000029</v>
      </c>
      <c r="G158" s="16">
        <f t="shared" si="18"/>
        <v>3.25</v>
      </c>
      <c r="H158" s="17">
        <f t="shared" si="19"/>
        <v>10.5625</v>
      </c>
      <c r="J158" s="14" t="str">
        <f t="shared" si="20"/>
        <v/>
      </c>
    </row>
    <row r="159" spans="5:10" x14ac:dyDescent="0.3">
      <c r="E159" s="16">
        <f t="shared" si="16"/>
        <v>3.3250000000000046</v>
      </c>
      <c r="F159" s="17">
        <f t="shared" si="17"/>
        <v>11.055625000000031</v>
      </c>
      <c r="G159" s="16">
        <f t="shared" si="18"/>
        <v>3.25</v>
      </c>
      <c r="H159" s="17">
        <f t="shared" si="19"/>
        <v>10.5625</v>
      </c>
      <c r="J159" s="14" t="str">
        <f t="shared" si="20"/>
        <v/>
      </c>
    </row>
    <row r="160" spans="5:10" x14ac:dyDescent="0.3">
      <c r="E160" s="16">
        <f t="shared" si="16"/>
        <v>3.3400000000000047</v>
      </c>
      <c r="F160" s="17">
        <f t="shared" si="17"/>
        <v>11.155600000000032</v>
      </c>
      <c r="G160" s="16">
        <f t="shared" si="18"/>
        <v>3.25</v>
      </c>
      <c r="H160" s="17">
        <f t="shared" si="19"/>
        <v>10.5625</v>
      </c>
      <c r="J160" s="14" t="str">
        <f t="shared" si="20"/>
        <v/>
      </c>
    </row>
    <row r="161" spans="5:10" x14ac:dyDescent="0.3">
      <c r="E161" s="16">
        <f t="shared" si="16"/>
        <v>3.3550000000000049</v>
      </c>
      <c r="F161" s="17">
        <f t="shared" si="17"/>
        <v>11.256025000000033</v>
      </c>
      <c r="G161" s="16">
        <f t="shared" si="18"/>
        <v>3.25</v>
      </c>
      <c r="H161" s="17">
        <f t="shared" si="19"/>
        <v>10.5625</v>
      </c>
      <c r="J161" s="14" t="str">
        <f t="shared" si="20"/>
        <v/>
      </c>
    </row>
    <row r="162" spans="5:10" x14ac:dyDescent="0.3">
      <c r="E162" s="16">
        <f t="shared" si="16"/>
        <v>3.370000000000005</v>
      </c>
      <c r="F162" s="17">
        <f t="shared" si="17"/>
        <v>11.356900000000033</v>
      </c>
      <c r="G162" s="16">
        <f t="shared" si="18"/>
        <v>3.25</v>
      </c>
      <c r="H162" s="17">
        <f t="shared" si="19"/>
        <v>10.5625</v>
      </c>
      <c r="J162" s="14" t="str">
        <f t="shared" si="20"/>
        <v/>
      </c>
    </row>
    <row r="163" spans="5:10" x14ac:dyDescent="0.3">
      <c r="E163" s="16">
        <f t="shared" si="16"/>
        <v>3.3850000000000051</v>
      </c>
      <c r="F163" s="17">
        <f t="shared" si="17"/>
        <v>11.458225000000034</v>
      </c>
      <c r="G163" s="16">
        <f t="shared" si="18"/>
        <v>3.25</v>
      </c>
      <c r="H163" s="17">
        <f t="shared" si="19"/>
        <v>10.5625</v>
      </c>
      <c r="J163" s="14" t="str">
        <f t="shared" si="20"/>
        <v/>
      </c>
    </row>
    <row r="164" spans="5:10" x14ac:dyDescent="0.3">
      <c r="E164" s="16">
        <f t="shared" si="16"/>
        <v>3.4000000000000052</v>
      </c>
      <c r="F164" s="17">
        <f t="shared" si="17"/>
        <v>11.560000000000036</v>
      </c>
      <c r="G164" s="16">
        <f t="shared" si="18"/>
        <v>3.25</v>
      </c>
      <c r="H164" s="17">
        <f t="shared" si="19"/>
        <v>10.5625</v>
      </c>
      <c r="J164" s="14" t="str">
        <f t="shared" si="20"/>
        <v/>
      </c>
    </row>
    <row r="165" spans="5:10" x14ac:dyDescent="0.3">
      <c r="E165" s="16">
        <f t="shared" ref="E165:E196" si="21">E164+($C$20-$C$19)/200</f>
        <v>3.4150000000000054</v>
      </c>
      <c r="F165" s="17">
        <f t="shared" si="17"/>
        <v>11.662225000000037</v>
      </c>
      <c r="G165" s="16">
        <f t="shared" ref="G165:G196" si="22">IF($C$11="right",IF(E165&lt;G164,G164,G164+$C$23),IF($C$11="left",IF(E165&lt;G164+$C$23,G164,G164+$C$23),IF($C$11="mid",IF(E165&lt;G164+$C$23/2,G164,G164+$C$23),"error?")))</f>
        <v>3.25</v>
      </c>
      <c r="H165" s="17">
        <f t="shared" si="19"/>
        <v>10.5625</v>
      </c>
      <c r="J165" s="14" t="str">
        <f t="shared" ref="J165:J196" si="23">IF(H165=H164,"",($C$23)*H165)</f>
        <v/>
      </c>
    </row>
    <row r="166" spans="5:10" x14ac:dyDescent="0.3">
      <c r="E166" s="16">
        <f t="shared" si="21"/>
        <v>3.4300000000000055</v>
      </c>
      <c r="F166" s="17">
        <f t="shared" si="17"/>
        <v>11.764900000000038</v>
      </c>
      <c r="G166" s="16">
        <f t="shared" si="22"/>
        <v>3.25</v>
      </c>
      <c r="H166" s="17">
        <f t="shared" si="19"/>
        <v>10.5625</v>
      </c>
      <c r="J166" s="14" t="str">
        <f t="shared" si="23"/>
        <v/>
      </c>
    </row>
    <row r="167" spans="5:10" x14ac:dyDescent="0.3">
      <c r="E167" s="16">
        <f t="shared" si="21"/>
        <v>3.4450000000000056</v>
      </c>
      <c r="F167" s="17">
        <f t="shared" si="17"/>
        <v>11.868025000000038</v>
      </c>
      <c r="G167" s="16">
        <f t="shared" si="22"/>
        <v>3.25</v>
      </c>
      <c r="H167" s="17">
        <f t="shared" si="19"/>
        <v>10.5625</v>
      </c>
      <c r="J167" s="14" t="str">
        <f t="shared" si="23"/>
        <v/>
      </c>
    </row>
    <row r="168" spans="5:10" x14ac:dyDescent="0.3">
      <c r="E168" s="16">
        <f t="shared" si="21"/>
        <v>3.4600000000000057</v>
      </c>
      <c r="F168" s="17">
        <f t="shared" si="17"/>
        <v>11.97160000000004</v>
      </c>
      <c r="G168" s="16">
        <f t="shared" si="22"/>
        <v>3.25</v>
      </c>
      <c r="H168" s="17">
        <f t="shared" si="19"/>
        <v>10.5625</v>
      </c>
      <c r="J168" s="14" t="str">
        <f t="shared" si="23"/>
        <v/>
      </c>
    </row>
    <row r="169" spans="5:10" x14ac:dyDescent="0.3">
      <c r="E169" s="16">
        <f t="shared" si="21"/>
        <v>3.4750000000000059</v>
      </c>
      <c r="F169" s="17">
        <f t="shared" si="17"/>
        <v>12.075625000000041</v>
      </c>
      <c r="G169" s="16">
        <f t="shared" si="22"/>
        <v>3.25</v>
      </c>
      <c r="H169" s="17">
        <f t="shared" si="19"/>
        <v>10.5625</v>
      </c>
      <c r="J169" s="14" t="str">
        <f t="shared" si="23"/>
        <v/>
      </c>
    </row>
    <row r="170" spans="5:10" x14ac:dyDescent="0.3">
      <c r="E170" s="16">
        <f t="shared" si="21"/>
        <v>3.490000000000006</v>
      </c>
      <c r="F170" s="17">
        <f t="shared" si="17"/>
        <v>12.180100000000042</v>
      </c>
      <c r="G170" s="16">
        <f t="shared" si="22"/>
        <v>3.25</v>
      </c>
      <c r="H170" s="17">
        <f t="shared" si="19"/>
        <v>10.5625</v>
      </c>
      <c r="J170" s="14" t="str">
        <f t="shared" si="23"/>
        <v/>
      </c>
    </row>
    <row r="171" spans="5:10" x14ac:dyDescent="0.3">
      <c r="E171" s="16">
        <f t="shared" si="21"/>
        <v>3.5050000000000061</v>
      </c>
      <c r="F171" s="17">
        <f t="shared" si="17"/>
        <v>12.285025000000044</v>
      </c>
      <c r="G171" s="16">
        <f t="shared" si="22"/>
        <v>3.25</v>
      </c>
      <c r="H171" s="17">
        <f t="shared" si="19"/>
        <v>10.5625</v>
      </c>
      <c r="J171" s="14" t="str">
        <f t="shared" si="23"/>
        <v/>
      </c>
    </row>
    <row r="172" spans="5:10" x14ac:dyDescent="0.3">
      <c r="E172" s="16">
        <f t="shared" si="21"/>
        <v>3.5200000000000062</v>
      </c>
      <c r="F172" s="17">
        <f t="shared" si="17"/>
        <v>12.390400000000044</v>
      </c>
      <c r="G172" s="16">
        <f t="shared" si="22"/>
        <v>3.25</v>
      </c>
      <c r="H172" s="17">
        <f t="shared" si="19"/>
        <v>10.5625</v>
      </c>
      <c r="J172" s="14" t="str">
        <f t="shared" si="23"/>
        <v/>
      </c>
    </row>
    <row r="173" spans="5:10" x14ac:dyDescent="0.3">
      <c r="E173" s="16">
        <f t="shared" si="21"/>
        <v>3.5350000000000064</v>
      </c>
      <c r="F173" s="17">
        <f t="shared" si="17"/>
        <v>12.496225000000045</v>
      </c>
      <c r="G173" s="16">
        <f t="shared" si="22"/>
        <v>3.25</v>
      </c>
      <c r="H173" s="17">
        <f t="shared" si="19"/>
        <v>10.5625</v>
      </c>
      <c r="J173" s="14" t="str">
        <f t="shared" si="23"/>
        <v/>
      </c>
    </row>
    <row r="174" spans="5:10" x14ac:dyDescent="0.3">
      <c r="E174" s="16">
        <f t="shared" si="21"/>
        <v>3.5500000000000065</v>
      </c>
      <c r="F174" s="17">
        <f t="shared" si="17"/>
        <v>12.602500000000045</v>
      </c>
      <c r="G174" s="16">
        <f t="shared" si="22"/>
        <v>3.25</v>
      </c>
      <c r="H174" s="17">
        <f t="shared" si="19"/>
        <v>10.5625</v>
      </c>
      <c r="J174" s="14" t="str">
        <f t="shared" si="23"/>
        <v/>
      </c>
    </row>
    <row r="175" spans="5:10" x14ac:dyDescent="0.3">
      <c r="E175" s="16">
        <f t="shared" si="21"/>
        <v>3.5650000000000066</v>
      </c>
      <c r="F175" s="17">
        <f t="shared" si="17"/>
        <v>12.709225000000048</v>
      </c>
      <c r="G175" s="16">
        <f t="shared" si="22"/>
        <v>3.25</v>
      </c>
      <c r="H175" s="17">
        <f t="shared" si="19"/>
        <v>10.5625</v>
      </c>
      <c r="J175" s="14" t="str">
        <f t="shared" si="23"/>
        <v/>
      </c>
    </row>
    <row r="176" spans="5:10" x14ac:dyDescent="0.3">
      <c r="E176" s="16">
        <f t="shared" si="21"/>
        <v>3.5800000000000067</v>
      </c>
      <c r="F176" s="17">
        <f t="shared" si="17"/>
        <v>12.816400000000048</v>
      </c>
      <c r="G176" s="16">
        <f t="shared" si="22"/>
        <v>3.25</v>
      </c>
      <c r="H176" s="17">
        <f t="shared" si="19"/>
        <v>10.5625</v>
      </c>
      <c r="J176" s="14" t="str">
        <f t="shared" si="23"/>
        <v/>
      </c>
    </row>
    <row r="177" spans="5:10" x14ac:dyDescent="0.3">
      <c r="E177" s="16">
        <f t="shared" si="21"/>
        <v>3.5950000000000069</v>
      </c>
      <c r="F177" s="17">
        <f t="shared" si="17"/>
        <v>12.92402500000005</v>
      </c>
      <c r="G177" s="16">
        <f t="shared" si="22"/>
        <v>3.25</v>
      </c>
      <c r="H177" s="17">
        <f t="shared" si="19"/>
        <v>10.5625</v>
      </c>
      <c r="J177" s="14" t="str">
        <f t="shared" si="23"/>
        <v/>
      </c>
    </row>
    <row r="178" spans="5:10" x14ac:dyDescent="0.3">
      <c r="E178" s="16">
        <f t="shared" si="21"/>
        <v>3.610000000000007</v>
      </c>
      <c r="F178" s="17">
        <f t="shared" si="17"/>
        <v>13.03210000000005</v>
      </c>
      <c r="G178" s="16">
        <f t="shared" si="22"/>
        <v>3.25</v>
      </c>
      <c r="H178" s="17">
        <f t="shared" si="19"/>
        <v>10.5625</v>
      </c>
      <c r="J178" s="14" t="str">
        <f t="shared" si="23"/>
        <v/>
      </c>
    </row>
    <row r="179" spans="5:10" x14ac:dyDescent="0.3">
      <c r="E179" s="16">
        <f t="shared" si="21"/>
        <v>3.6250000000000071</v>
      </c>
      <c r="F179" s="17">
        <f t="shared" si="17"/>
        <v>13.140625000000052</v>
      </c>
      <c r="G179" s="16">
        <f t="shared" si="22"/>
        <v>3.625</v>
      </c>
      <c r="H179" s="17">
        <f t="shared" si="19"/>
        <v>13.140625</v>
      </c>
      <c r="J179" s="14">
        <f t="shared" si="23"/>
        <v>4.927734375</v>
      </c>
    </row>
    <row r="180" spans="5:10" x14ac:dyDescent="0.3">
      <c r="E180" s="16">
        <f t="shared" si="21"/>
        <v>3.6400000000000072</v>
      </c>
      <c r="F180" s="17">
        <f t="shared" si="17"/>
        <v>13.249600000000052</v>
      </c>
      <c r="G180" s="16">
        <f t="shared" si="22"/>
        <v>3.625</v>
      </c>
      <c r="H180" s="17">
        <f t="shared" si="19"/>
        <v>13.140625</v>
      </c>
      <c r="J180" s="14" t="str">
        <f t="shared" si="23"/>
        <v/>
      </c>
    </row>
    <row r="181" spans="5:10" x14ac:dyDescent="0.3">
      <c r="E181" s="16">
        <f t="shared" si="21"/>
        <v>3.6550000000000074</v>
      </c>
      <c r="F181" s="17">
        <f t="shared" si="17"/>
        <v>13.359025000000054</v>
      </c>
      <c r="G181" s="16">
        <f t="shared" si="22"/>
        <v>3.625</v>
      </c>
      <c r="H181" s="17">
        <f t="shared" si="19"/>
        <v>13.140625</v>
      </c>
      <c r="J181" s="14" t="str">
        <f t="shared" si="23"/>
        <v/>
      </c>
    </row>
    <row r="182" spans="5:10" x14ac:dyDescent="0.3">
      <c r="E182" s="16">
        <f t="shared" si="21"/>
        <v>3.6700000000000075</v>
      </c>
      <c r="F182" s="17">
        <f t="shared" si="17"/>
        <v>13.468900000000055</v>
      </c>
      <c r="G182" s="16">
        <f t="shared" si="22"/>
        <v>3.625</v>
      </c>
      <c r="H182" s="17">
        <f t="shared" si="19"/>
        <v>13.140625</v>
      </c>
      <c r="J182" s="14" t="str">
        <f t="shared" si="23"/>
        <v/>
      </c>
    </row>
    <row r="183" spans="5:10" x14ac:dyDescent="0.3">
      <c r="E183" s="16">
        <f t="shared" si="21"/>
        <v>3.6850000000000076</v>
      </c>
      <c r="F183" s="17">
        <f t="shared" si="17"/>
        <v>13.579225000000056</v>
      </c>
      <c r="G183" s="16">
        <f t="shared" si="22"/>
        <v>3.625</v>
      </c>
      <c r="H183" s="17">
        <f t="shared" si="19"/>
        <v>13.140625</v>
      </c>
      <c r="J183" s="14" t="str">
        <f t="shared" si="23"/>
        <v/>
      </c>
    </row>
    <row r="184" spans="5:10" x14ac:dyDescent="0.3">
      <c r="E184" s="16">
        <f t="shared" si="21"/>
        <v>3.7000000000000077</v>
      </c>
      <c r="F184" s="17">
        <f t="shared" si="17"/>
        <v>13.690000000000056</v>
      </c>
      <c r="G184" s="16">
        <f t="shared" si="22"/>
        <v>3.625</v>
      </c>
      <c r="H184" s="17">
        <f t="shared" si="19"/>
        <v>13.140625</v>
      </c>
      <c r="J184" s="14" t="str">
        <f t="shared" si="23"/>
        <v/>
      </c>
    </row>
    <row r="185" spans="5:10" x14ac:dyDescent="0.3">
      <c r="E185" s="16">
        <f t="shared" si="21"/>
        <v>3.7150000000000079</v>
      </c>
      <c r="F185" s="17">
        <f t="shared" si="17"/>
        <v>13.801225000000059</v>
      </c>
      <c r="G185" s="16">
        <f t="shared" si="22"/>
        <v>3.625</v>
      </c>
      <c r="H185" s="17">
        <f t="shared" si="19"/>
        <v>13.140625</v>
      </c>
      <c r="J185" s="14" t="str">
        <f t="shared" si="23"/>
        <v/>
      </c>
    </row>
    <row r="186" spans="5:10" x14ac:dyDescent="0.3">
      <c r="E186" s="16">
        <f t="shared" si="21"/>
        <v>3.730000000000008</v>
      </c>
      <c r="F186" s="17">
        <f t="shared" si="17"/>
        <v>13.912900000000059</v>
      </c>
      <c r="G186" s="16">
        <f t="shared" si="22"/>
        <v>3.625</v>
      </c>
      <c r="H186" s="17">
        <f t="shared" si="19"/>
        <v>13.140625</v>
      </c>
      <c r="J186" s="14" t="str">
        <f t="shared" si="23"/>
        <v/>
      </c>
    </row>
    <row r="187" spans="5:10" x14ac:dyDescent="0.3">
      <c r="E187" s="16">
        <f t="shared" si="21"/>
        <v>3.7450000000000081</v>
      </c>
      <c r="F187" s="17">
        <f t="shared" si="17"/>
        <v>14.02502500000006</v>
      </c>
      <c r="G187" s="16">
        <f t="shared" si="22"/>
        <v>3.625</v>
      </c>
      <c r="H187" s="17">
        <f t="shared" si="19"/>
        <v>13.140625</v>
      </c>
      <c r="J187" s="14" t="str">
        <f t="shared" si="23"/>
        <v/>
      </c>
    </row>
    <row r="188" spans="5:10" x14ac:dyDescent="0.3">
      <c r="E188" s="16">
        <f t="shared" si="21"/>
        <v>3.7600000000000082</v>
      </c>
      <c r="F188" s="17">
        <f t="shared" si="17"/>
        <v>14.137600000000061</v>
      </c>
      <c r="G188" s="16">
        <f t="shared" si="22"/>
        <v>3.625</v>
      </c>
      <c r="H188" s="17">
        <f t="shared" si="19"/>
        <v>13.140625</v>
      </c>
      <c r="J188" s="14" t="str">
        <f t="shared" si="23"/>
        <v/>
      </c>
    </row>
    <row r="189" spans="5:10" x14ac:dyDescent="0.3">
      <c r="E189" s="16">
        <f t="shared" si="21"/>
        <v>3.7750000000000083</v>
      </c>
      <c r="F189" s="17">
        <f t="shared" si="17"/>
        <v>14.250625000000063</v>
      </c>
      <c r="G189" s="16">
        <f t="shared" si="22"/>
        <v>3.625</v>
      </c>
      <c r="H189" s="17">
        <f t="shared" si="19"/>
        <v>13.140625</v>
      </c>
      <c r="J189" s="14" t="str">
        <f t="shared" si="23"/>
        <v/>
      </c>
    </row>
    <row r="190" spans="5:10" x14ac:dyDescent="0.3">
      <c r="E190" s="16">
        <f t="shared" si="21"/>
        <v>3.7900000000000085</v>
      </c>
      <c r="F190" s="17">
        <f t="shared" si="17"/>
        <v>14.364100000000064</v>
      </c>
      <c r="G190" s="16">
        <f t="shared" si="22"/>
        <v>3.625</v>
      </c>
      <c r="H190" s="17">
        <f t="shared" si="19"/>
        <v>13.140625</v>
      </c>
      <c r="J190" s="14" t="str">
        <f t="shared" si="23"/>
        <v/>
      </c>
    </row>
    <row r="191" spans="5:10" x14ac:dyDescent="0.3">
      <c r="E191" s="16">
        <f t="shared" si="21"/>
        <v>3.8050000000000086</v>
      </c>
      <c r="F191" s="17">
        <f t="shared" si="17"/>
        <v>14.478025000000066</v>
      </c>
      <c r="G191" s="16">
        <f t="shared" si="22"/>
        <v>3.625</v>
      </c>
      <c r="H191" s="17">
        <f t="shared" si="19"/>
        <v>13.140625</v>
      </c>
      <c r="J191" s="14" t="str">
        <f t="shared" si="23"/>
        <v/>
      </c>
    </row>
    <row r="192" spans="5:10" x14ac:dyDescent="0.3">
      <c r="E192" s="16">
        <f t="shared" si="21"/>
        <v>3.8200000000000087</v>
      </c>
      <c r="F192" s="17">
        <f t="shared" si="17"/>
        <v>14.592400000000067</v>
      </c>
      <c r="G192" s="16">
        <f t="shared" si="22"/>
        <v>3.625</v>
      </c>
      <c r="H192" s="17">
        <f t="shared" si="19"/>
        <v>13.140625</v>
      </c>
      <c r="J192" s="14" t="str">
        <f t="shared" si="23"/>
        <v/>
      </c>
    </row>
    <row r="193" spans="5:10" x14ac:dyDescent="0.3">
      <c r="E193" s="16">
        <f t="shared" si="21"/>
        <v>3.8350000000000088</v>
      </c>
      <c r="F193" s="17">
        <f t="shared" si="17"/>
        <v>14.707225000000069</v>
      </c>
      <c r="G193" s="16">
        <f t="shared" si="22"/>
        <v>3.625</v>
      </c>
      <c r="H193" s="17">
        <f t="shared" si="19"/>
        <v>13.140625</v>
      </c>
      <c r="J193" s="14" t="str">
        <f t="shared" si="23"/>
        <v/>
      </c>
    </row>
    <row r="194" spans="5:10" x14ac:dyDescent="0.3">
      <c r="E194" s="16">
        <f t="shared" si="21"/>
        <v>3.850000000000009</v>
      </c>
      <c r="F194" s="17">
        <f t="shared" si="17"/>
        <v>14.822500000000069</v>
      </c>
      <c r="G194" s="16">
        <f t="shared" si="22"/>
        <v>3.625</v>
      </c>
      <c r="H194" s="17">
        <f t="shared" si="19"/>
        <v>13.140625</v>
      </c>
      <c r="J194" s="14" t="str">
        <f t="shared" si="23"/>
        <v/>
      </c>
    </row>
    <row r="195" spans="5:10" x14ac:dyDescent="0.3">
      <c r="E195" s="16">
        <f t="shared" si="21"/>
        <v>3.8650000000000091</v>
      </c>
      <c r="F195" s="17">
        <f t="shared" si="17"/>
        <v>14.93822500000007</v>
      </c>
      <c r="G195" s="16">
        <f t="shared" si="22"/>
        <v>3.625</v>
      </c>
      <c r="H195" s="17">
        <f t="shared" si="19"/>
        <v>13.140625</v>
      </c>
      <c r="J195" s="14" t="str">
        <f t="shared" si="23"/>
        <v/>
      </c>
    </row>
    <row r="196" spans="5:10" x14ac:dyDescent="0.3">
      <c r="E196" s="16">
        <f t="shared" si="21"/>
        <v>3.8800000000000092</v>
      </c>
      <c r="F196" s="17">
        <f t="shared" si="17"/>
        <v>15.054400000000072</v>
      </c>
      <c r="G196" s="16">
        <f t="shared" si="22"/>
        <v>3.625</v>
      </c>
      <c r="H196" s="17">
        <f t="shared" si="19"/>
        <v>13.140625</v>
      </c>
      <c r="J196" s="14" t="str">
        <f t="shared" si="23"/>
        <v/>
      </c>
    </row>
    <row r="197" spans="5:10" x14ac:dyDescent="0.3">
      <c r="E197" s="16">
        <f t="shared" ref="E197:E204" si="24">E196+($C$20-$C$19)/200</f>
        <v>3.8950000000000093</v>
      </c>
      <c r="F197" s="17">
        <f t="shared" ref="F197:F203" si="25">E197^2</f>
        <v>15.171025000000073</v>
      </c>
      <c r="G197" s="16">
        <f t="shared" ref="G197:G203" si="26">IF($C$11="right",IF(E197&lt;G196,G196,G196+$C$23),IF($C$11="left",IF(E197&lt;G196+$C$23,G196,G196+$C$23),IF($C$11="mid",IF(E197&lt;G196+$C$23/2,G196,G196+$C$23),"error?")))</f>
        <v>3.625</v>
      </c>
      <c r="H197" s="17">
        <f t="shared" ref="H197:H203" si="27">G197^2</f>
        <v>13.140625</v>
      </c>
      <c r="J197" s="14" t="str">
        <f t="shared" ref="J197:J204" si="28">IF(H197=H196,"",($C$23)*H197)</f>
        <v/>
      </c>
    </row>
    <row r="198" spans="5:10" x14ac:dyDescent="0.3">
      <c r="E198" s="16">
        <f t="shared" si="24"/>
        <v>3.9100000000000095</v>
      </c>
      <c r="F198" s="17">
        <f t="shared" si="25"/>
        <v>15.288100000000075</v>
      </c>
      <c r="G198" s="16">
        <f t="shared" si="26"/>
        <v>3.625</v>
      </c>
      <c r="H198" s="17">
        <f t="shared" si="27"/>
        <v>13.140625</v>
      </c>
      <c r="J198" s="14" t="str">
        <f t="shared" si="28"/>
        <v/>
      </c>
    </row>
    <row r="199" spans="5:10" x14ac:dyDescent="0.3">
      <c r="E199" s="16">
        <f t="shared" si="24"/>
        <v>3.9250000000000096</v>
      </c>
      <c r="F199" s="17">
        <f t="shared" si="25"/>
        <v>15.405625000000075</v>
      </c>
      <c r="G199" s="16">
        <f t="shared" si="26"/>
        <v>3.625</v>
      </c>
      <c r="H199" s="17">
        <f t="shared" si="27"/>
        <v>13.140625</v>
      </c>
      <c r="J199" s="14" t="str">
        <f t="shared" si="28"/>
        <v/>
      </c>
    </row>
    <row r="200" spans="5:10" x14ac:dyDescent="0.3">
      <c r="E200" s="16">
        <f t="shared" si="24"/>
        <v>3.9400000000000097</v>
      </c>
      <c r="F200" s="17">
        <f t="shared" si="25"/>
        <v>15.523600000000076</v>
      </c>
      <c r="G200" s="16">
        <f t="shared" si="26"/>
        <v>3.625</v>
      </c>
      <c r="H200" s="17">
        <f t="shared" si="27"/>
        <v>13.140625</v>
      </c>
      <c r="J200" s="14" t="str">
        <f t="shared" si="28"/>
        <v/>
      </c>
    </row>
    <row r="201" spans="5:10" x14ac:dyDescent="0.3">
      <c r="E201" s="16">
        <f t="shared" si="24"/>
        <v>3.9550000000000098</v>
      </c>
      <c r="F201" s="17">
        <f t="shared" si="25"/>
        <v>15.642025000000078</v>
      </c>
      <c r="G201" s="16">
        <f t="shared" si="26"/>
        <v>3.625</v>
      </c>
      <c r="H201" s="17">
        <f t="shared" si="27"/>
        <v>13.140625</v>
      </c>
      <c r="J201" s="14" t="str">
        <f t="shared" si="28"/>
        <v/>
      </c>
    </row>
    <row r="202" spans="5:10" x14ac:dyDescent="0.3">
      <c r="E202" s="16">
        <f t="shared" si="24"/>
        <v>3.97000000000001</v>
      </c>
      <c r="F202" s="17">
        <f t="shared" si="25"/>
        <v>15.760900000000079</v>
      </c>
      <c r="G202" s="16">
        <f t="shared" si="26"/>
        <v>3.625</v>
      </c>
      <c r="H202" s="17">
        <f t="shared" si="27"/>
        <v>13.140625</v>
      </c>
      <c r="J202" s="14" t="str">
        <f t="shared" si="28"/>
        <v/>
      </c>
    </row>
    <row r="203" spans="5:10" x14ac:dyDescent="0.3">
      <c r="E203" s="16">
        <f t="shared" si="24"/>
        <v>3.9850000000000101</v>
      </c>
      <c r="F203" s="17">
        <f t="shared" si="25"/>
        <v>15.880225000000081</v>
      </c>
      <c r="G203" s="16">
        <f t="shared" si="26"/>
        <v>3.625</v>
      </c>
      <c r="H203" s="17">
        <f t="shared" si="27"/>
        <v>13.140625</v>
      </c>
      <c r="J203" s="14" t="str">
        <f t="shared" si="28"/>
        <v/>
      </c>
    </row>
    <row r="204" spans="5:10" x14ac:dyDescent="0.3">
      <c r="E204" s="18">
        <f t="shared" si="24"/>
        <v>4.0000000000000098</v>
      </c>
      <c r="F204" s="19"/>
      <c r="G204" s="18"/>
      <c r="H204" s="19"/>
      <c r="J204" s="15">
        <f t="shared" si="28"/>
        <v>0</v>
      </c>
    </row>
  </sheetData>
  <mergeCells count="3">
    <mergeCell ref="J2:K2"/>
    <mergeCell ref="E2:F2"/>
    <mergeCell ref="G2:H2"/>
  </mergeCells>
  <dataValidations count="2">
    <dataValidation type="list" allowBlank="1" showInputMessage="1" showErrorMessage="1" errorTitle="Wrong Input!" error="Only 3 entries are allowed:_x000a__x000a_1) &quot;left&quot; (Left Reimann Sum)_x000a_2) &quot;mid&quot; (Midpoint Reimann Sum)_x000a_3) &quot;right&quot; (Right Reimann Sum)" sqref="C11" xr:uid="{A7691D00-3757-41A5-B11A-CE344352FB90}">
      <formula1>"left, mid, right,"</formula1>
    </dataValidation>
    <dataValidation type="custom" allowBlank="1" showInputMessage="1" showErrorMessage="1" errorTitle="Wrong Input!" error="Please check for the following:_x000a__x000a_1) n-value is between 1 and 100_x000a_" sqref="C21" xr:uid="{20E254A8-A781-4B26-ABFD-2292F63B4450}">
      <formula1 xml:space="preserve"> AND(C21&gt;0,C21&lt;=100)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1FFB-33D6-4647-BAA9-DBE3DAC5AE7D}">
  <sheetPr codeName="Sheet3"/>
  <dimension ref="B1:T304"/>
  <sheetViews>
    <sheetView zoomScale="70" zoomScaleNormal="70" workbookViewId="0"/>
  </sheetViews>
  <sheetFormatPr defaultRowHeight="14.4" x14ac:dyDescent="0.3"/>
  <cols>
    <col min="2" max="2" width="12.21875" customWidth="1"/>
    <col min="3" max="3" width="26.6640625" customWidth="1"/>
    <col min="5" max="5" width="0" hidden="1" customWidth="1"/>
    <col min="6" max="6" width="8.88671875" customWidth="1"/>
    <col min="7" max="7" width="13.33203125" customWidth="1"/>
    <col min="8" max="8" width="8.88671875" hidden="1" customWidth="1"/>
    <col min="9" max="9" width="10.5546875" hidden="1" customWidth="1"/>
    <col min="10" max="10" width="8.88671875" hidden="1" customWidth="1"/>
    <col min="11" max="11" width="8" bestFit="1" customWidth="1"/>
    <col min="12" max="12" width="13.33203125" bestFit="1" customWidth="1"/>
    <col min="16" max="16" width="13.33203125" customWidth="1"/>
    <col min="17" max="17" width="8.88671875" hidden="1" customWidth="1"/>
    <col min="18" max="18" width="12" bestFit="1" customWidth="1"/>
    <col min="19" max="19" width="13.33203125" customWidth="1"/>
    <col min="20" max="20" width="8.88671875" style="2" hidden="1" customWidth="1"/>
  </cols>
  <sheetData>
    <row r="1" spans="2:20" ht="15" thickBot="1" x14ac:dyDescent="0.35"/>
    <row r="2" spans="2:20" ht="14.4" customHeight="1" thickBot="1" x14ac:dyDescent="0.35">
      <c r="F2" s="44" t="s">
        <v>20</v>
      </c>
      <c r="G2" s="44"/>
      <c r="H2" s="25"/>
      <c r="I2" s="26" t="s">
        <v>7</v>
      </c>
      <c r="J2" s="25"/>
      <c r="K2" s="44" t="s">
        <v>17</v>
      </c>
      <c r="L2" s="44"/>
      <c r="M2" s="25"/>
      <c r="N2" s="44" t="s">
        <v>21</v>
      </c>
      <c r="O2" s="44"/>
      <c r="P2" s="44"/>
      <c r="Q2" s="44"/>
      <c r="R2" s="44"/>
      <c r="S2" s="44"/>
      <c r="T2" s="23"/>
    </row>
    <row r="3" spans="2:20" ht="14.4" customHeight="1" thickBot="1" x14ac:dyDescent="0.35">
      <c r="F3" s="35" t="s">
        <v>3</v>
      </c>
      <c r="G3" s="28" t="s">
        <v>4</v>
      </c>
      <c r="H3" s="37"/>
      <c r="I3" s="38"/>
      <c r="J3" s="37"/>
      <c r="K3" s="28" t="s">
        <v>3</v>
      </c>
      <c r="L3" s="36" t="s">
        <v>4</v>
      </c>
      <c r="M3" s="27"/>
      <c r="N3" s="28" t="s">
        <v>2</v>
      </c>
      <c r="O3" s="28" t="s">
        <v>3</v>
      </c>
      <c r="P3" s="28" t="s">
        <v>4</v>
      </c>
      <c r="Q3" s="29" t="s">
        <v>8</v>
      </c>
      <c r="R3" s="28" t="s">
        <v>6</v>
      </c>
      <c r="S3" s="28" t="s">
        <v>5</v>
      </c>
      <c r="T3" s="2" t="s">
        <v>11</v>
      </c>
    </row>
    <row r="4" spans="2:20" ht="14.4" customHeight="1" thickBot="1" x14ac:dyDescent="0.35">
      <c r="F4" s="16">
        <f>C19</f>
        <v>1</v>
      </c>
      <c r="G4" s="17">
        <v>0</v>
      </c>
      <c r="I4" s="2"/>
      <c r="K4" s="16">
        <f>C19</f>
        <v>1</v>
      </c>
      <c r="L4" s="17">
        <f>K4^2</f>
        <v>1</v>
      </c>
      <c r="N4" s="14">
        <v>0</v>
      </c>
      <c r="O4" s="20">
        <f>T4</f>
        <v>1</v>
      </c>
      <c r="P4" s="20">
        <f>Q4</f>
        <v>1</v>
      </c>
      <c r="Q4" s="24">
        <f>O4^2</f>
        <v>1</v>
      </c>
      <c r="R4" s="34">
        <v>0</v>
      </c>
      <c r="S4" s="5">
        <f>MAX(R4:R104)</f>
        <v>21.0703125</v>
      </c>
      <c r="T4" s="2">
        <f>C19</f>
        <v>1</v>
      </c>
    </row>
    <row r="5" spans="2:20" ht="14.4" customHeight="1" x14ac:dyDescent="0.3">
      <c r="F5" s="16">
        <f>C19</f>
        <v>1</v>
      </c>
      <c r="G5" s="17">
        <v>0</v>
      </c>
      <c r="I5" s="2"/>
      <c r="K5" s="16">
        <f>K4+($C$20-$C$19)/200</f>
        <v>1.0149999999999999</v>
      </c>
      <c r="L5" s="17">
        <f t="shared" ref="L5:L68" si="0">K5^2</f>
        <v>1.0302249999999997</v>
      </c>
      <c r="N5" s="14">
        <v>1</v>
      </c>
      <c r="O5" s="20">
        <f>IF(T5=T4,"",T5)</f>
        <v>1.375</v>
      </c>
      <c r="P5" s="20">
        <f t="shared" ref="P5:P36" si="1">IF(T5=T4,"",Q5)</f>
        <v>1.890625</v>
      </c>
      <c r="Q5" s="24">
        <f t="shared" ref="Q5:Q68" si="2">O5^2</f>
        <v>1.890625</v>
      </c>
      <c r="R5" s="14">
        <f t="shared" ref="R5:R36" si="3">IF(P5="","",(P5+P4)*(T5-T4)/2+R4)</f>
        <v>0.5419921875</v>
      </c>
      <c r="T5" s="2">
        <f t="shared" ref="T5:T36" si="4">IF(T4+$C$23&gt;$C$20,$C$20,T4+$C$23)</f>
        <v>1.375</v>
      </c>
    </row>
    <row r="6" spans="2:20" ht="14.4" customHeight="1" thickBot="1" x14ac:dyDescent="0.35">
      <c r="F6" s="16">
        <f>C19</f>
        <v>1</v>
      </c>
      <c r="G6" s="17">
        <f>I6</f>
        <v>1</v>
      </c>
      <c r="I6" s="2">
        <f>F6^2</f>
        <v>1</v>
      </c>
      <c r="K6" s="16">
        <f t="shared" ref="K6:K69" si="5">K5+($C$20-$C$19)/200</f>
        <v>1.0299999999999998</v>
      </c>
      <c r="L6" s="17">
        <f t="shared" si="0"/>
        <v>1.0608999999999995</v>
      </c>
      <c r="N6" s="14">
        <v>2</v>
      </c>
      <c r="O6" s="20">
        <f t="shared" ref="O6:O69" si="6">IF(T6=T5,"",T6)</f>
        <v>1.75</v>
      </c>
      <c r="P6" s="20">
        <f t="shared" si="1"/>
        <v>3.0625</v>
      </c>
      <c r="Q6" s="24">
        <f t="shared" si="2"/>
        <v>3.0625</v>
      </c>
      <c r="R6" s="14">
        <f t="shared" si="3"/>
        <v>1.470703125</v>
      </c>
      <c r="T6" s="2">
        <f t="shared" si="4"/>
        <v>1.75</v>
      </c>
    </row>
    <row r="7" spans="2:20" ht="14.4" customHeight="1" thickBot="1" x14ac:dyDescent="0.35">
      <c r="B7" s="30" t="s">
        <v>12</v>
      </c>
      <c r="C7" s="32" t="s">
        <v>13</v>
      </c>
      <c r="F7" s="16">
        <f>IF(F4+$C$23&gt;$C$20,$C$20,F4+$C$23)</f>
        <v>1.375</v>
      </c>
      <c r="G7" s="17">
        <f>I7</f>
        <v>1.890625</v>
      </c>
      <c r="I7" s="2">
        <f t="shared" ref="I7:I70" si="7">F7^2</f>
        <v>1.890625</v>
      </c>
      <c r="K7" s="16">
        <f t="shared" si="5"/>
        <v>1.0449999999999997</v>
      </c>
      <c r="L7" s="17">
        <f t="shared" si="0"/>
        <v>1.0920249999999994</v>
      </c>
      <c r="N7" s="14">
        <v>3</v>
      </c>
      <c r="O7" s="20">
        <f t="shared" si="6"/>
        <v>2.125</v>
      </c>
      <c r="P7" s="20">
        <f t="shared" si="1"/>
        <v>4.515625</v>
      </c>
      <c r="Q7" s="24">
        <f t="shared" si="2"/>
        <v>4.515625</v>
      </c>
      <c r="R7" s="14">
        <f t="shared" si="3"/>
        <v>2.8916015625</v>
      </c>
      <c r="T7" s="2">
        <f t="shared" si="4"/>
        <v>2.125</v>
      </c>
    </row>
    <row r="8" spans="2:20" ht="14.4" customHeight="1" x14ac:dyDescent="0.3">
      <c r="F8" s="16">
        <f t="shared" ref="F8:F71" si="8">IF(F5+$C$23&gt;$C$20,$C$20,F5+$C$23)</f>
        <v>1.375</v>
      </c>
      <c r="G8" s="17">
        <v>0</v>
      </c>
      <c r="I8" s="2"/>
      <c r="K8" s="16">
        <f t="shared" si="5"/>
        <v>1.0599999999999996</v>
      </c>
      <c r="L8" s="17">
        <f t="shared" si="0"/>
        <v>1.1235999999999993</v>
      </c>
      <c r="N8" s="14">
        <v>4</v>
      </c>
      <c r="O8" s="20">
        <f t="shared" si="6"/>
        <v>2.5</v>
      </c>
      <c r="P8" s="20">
        <f t="shared" si="1"/>
        <v>6.25</v>
      </c>
      <c r="Q8" s="24">
        <f t="shared" si="2"/>
        <v>6.25</v>
      </c>
      <c r="R8" s="14">
        <f t="shared" si="3"/>
        <v>4.91015625</v>
      </c>
      <c r="T8" s="2">
        <f t="shared" si="4"/>
        <v>2.5</v>
      </c>
    </row>
    <row r="9" spans="2:20" ht="14.4" customHeight="1" x14ac:dyDescent="0.3">
      <c r="F9" s="16">
        <f t="shared" si="8"/>
        <v>1.375</v>
      </c>
      <c r="G9" s="17">
        <f>IF($C$21&lt;=1,0,I9)</f>
        <v>1.890625</v>
      </c>
      <c r="I9" s="2">
        <f t="shared" si="7"/>
        <v>1.890625</v>
      </c>
      <c r="K9" s="16">
        <f t="shared" si="5"/>
        <v>1.0749999999999995</v>
      </c>
      <c r="L9" s="17">
        <f t="shared" si="0"/>
        <v>1.155624999999999</v>
      </c>
      <c r="N9" s="14">
        <v>5</v>
      </c>
      <c r="O9" s="20">
        <f t="shared" si="6"/>
        <v>2.875</v>
      </c>
      <c r="P9" s="20">
        <f t="shared" si="1"/>
        <v>8.265625</v>
      </c>
      <c r="Q9" s="24">
        <f t="shared" si="2"/>
        <v>8.265625</v>
      </c>
      <c r="R9" s="14">
        <f t="shared" si="3"/>
        <v>7.6318359375</v>
      </c>
      <c r="T9" s="2">
        <f t="shared" si="4"/>
        <v>2.875</v>
      </c>
    </row>
    <row r="10" spans="2:20" ht="14.4" customHeight="1" x14ac:dyDescent="0.3">
      <c r="F10" s="16">
        <f t="shared" si="8"/>
        <v>1.75</v>
      </c>
      <c r="G10" s="17">
        <f>I10</f>
        <v>3.0625</v>
      </c>
      <c r="I10" s="2">
        <f t="shared" si="7"/>
        <v>3.0625</v>
      </c>
      <c r="K10" s="16">
        <f t="shared" si="5"/>
        <v>1.0899999999999994</v>
      </c>
      <c r="L10" s="17">
        <f t="shared" si="0"/>
        <v>1.1880999999999988</v>
      </c>
      <c r="N10" s="14">
        <v>6</v>
      </c>
      <c r="O10" s="20">
        <f t="shared" si="6"/>
        <v>3.25</v>
      </c>
      <c r="P10" s="20">
        <f t="shared" si="1"/>
        <v>10.5625</v>
      </c>
      <c r="Q10" s="24">
        <f t="shared" si="2"/>
        <v>10.5625</v>
      </c>
      <c r="R10" s="14">
        <f t="shared" si="3"/>
        <v>11.162109375</v>
      </c>
      <c r="T10" s="2">
        <f t="shared" si="4"/>
        <v>3.25</v>
      </c>
    </row>
    <row r="11" spans="2:20" ht="14.4" customHeight="1" x14ac:dyDescent="0.3">
      <c r="F11" s="16">
        <f t="shared" si="8"/>
        <v>1.75</v>
      </c>
      <c r="G11" s="17">
        <v>0</v>
      </c>
      <c r="I11" s="2"/>
      <c r="K11" s="16">
        <f t="shared" si="5"/>
        <v>1.1049999999999993</v>
      </c>
      <c r="L11" s="17">
        <f t="shared" si="0"/>
        <v>1.2210249999999985</v>
      </c>
      <c r="N11" s="14">
        <v>7</v>
      </c>
      <c r="O11" s="20">
        <f t="shared" si="6"/>
        <v>3.625</v>
      </c>
      <c r="P11" s="20">
        <f t="shared" si="1"/>
        <v>13.140625</v>
      </c>
      <c r="Q11" s="24">
        <f t="shared" si="2"/>
        <v>13.140625</v>
      </c>
      <c r="R11" s="14">
        <f t="shared" si="3"/>
        <v>15.6064453125</v>
      </c>
      <c r="T11" s="2">
        <f t="shared" si="4"/>
        <v>3.625</v>
      </c>
    </row>
    <row r="12" spans="2:20" ht="14.4" customHeight="1" x14ac:dyDescent="0.3">
      <c r="F12" s="16">
        <f t="shared" si="8"/>
        <v>1.75</v>
      </c>
      <c r="G12" s="17">
        <f>I12</f>
        <v>3.0625</v>
      </c>
      <c r="I12" s="2">
        <f t="shared" si="7"/>
        <v>3.0625</v>
      </c>
      <c r="K12" s="16">
        <f t="shared" si="5"/>
        <v>1.1199999999999992</v>
      </c>
      <c r="L12" s="17">
        <f t="shared" si="0"/>
        <v>1.2543999999999982</v>
      </c>
      <c r="N12" s="14">
        <v>8</v>
      </c>
      <c r="O12" s="20">
        <f t="shared" si="6"/>
        <v>4</v>
      </c>
      <c r="P12" s="20">
        <f t="shared" si="1"/>
        <v>16</v>
      </c>
      <c r="Q12" s="24">
        <f t="shared" si="2"/>
        <v>16</v>
      </c>
      <c r="R12" s="14">
        <f t="shared" si="3"/>
        <v>21.0703125</v>
      </c>
      <c r="T12" s="2">
        <f t="shared" si="4"/>
        <v>4</v>
      </c>
    </row>
    <row r="13" spans="2:20" ht="14.4" customHeight="1" x14ac:dyDescent="0.3">
      <c r="F13" s="16">
        <f t="shared" si="8"/>
        <v>2.125</v>
      </c>
      <c r="G13" s="17">
        <f>I13</f>
        <v>4.515625</v>
      </c>
      <c r="I13" s="2">
        <f t="shared" si="7"/>
        <v>4.515625</v>
      </c>
      <c r="K13" s="16">
        <f>K12+($C$20-$C$19)/200</f>
        <v>1.1349999999999991</v>
      </c>
      <c r="L13" s="17">
        <f t="shared" si="0"/>
        <v>1.288224999999998</v>
      </c>
      <c r="N13" s="14">
        <v>9</v>
      </c>
      <c r="O13" s="20" t="str">
        <f t="shared" si="6"/>
        <v/>
      </c>
      <c r="P13" s="20" t="str">
        <f t="shared" si="1"/>
        <v/>
      </c>
      <c r="Q13" s="24" t="e">
        <f t="shared" si="2"/>
        <v>#VALUE!</v>
      </c>
      <c r="R13" s="14" t="str">
        <f t="shared" si="3"/>
        <v/>
      </c>
      <c r="T13" s="2">
        <f t="shared" si="4"/>
        <v>4</v>
      </c>
    </row>
    <row r="14" spans="2:20" ht="14.4" customHeight="1" x14ac:dyDescent="0.3">
      <c r="F14" s="16">
        <f t="shared" si="8"/>
        <v>2.125</v>
      </c>
      <c r="G14" s="17">
        <v>0</v>
      </c>
      <c r="I14" s="2"/>
      <c r="K14" s="16">
        <f t="shared" si="5"/>
        <v>1.149999999999999</v>
      </c>
      <c r="L14" s="17">
        <f t="shared" si="0"/>
        <v>1.3224999999999978</v>
      </c>
      <c r="N14" s="14">
        <v>10</v>
      </c>
      <c r="O14" s="20" t="str">
        <f t="shared" si="6"/>
        <v/>
      </c>
      <c r="P14" s="20" t="str">
        <f t="shared" si="1"/>
        <v/>
      </c>
      <c r="Q14" s="24" t="e">
        <f t="shared" si="2"/>
        <v>#VALUE!</v>
      </c>
      <c r="R14" s="14" t="str">
        <f t="shared" si="3"/>
        <v/>
      </c>
      <c r="T14" s="2">
        <f t="shared" si="4"/>
        <v>4</v>
      </c>
    </row>
    <row r="15" spans="2:20" ht="14.4" customHeight="1" x14ac:dyDescent="0.3">
      <c r="F15" s="16">
        <f t="shared" si="8"/>
        <v>2.125</v>
      </c>
      <c r="G15" s="17">
        <f>I15</f>
        <v>4.515625</v>
      </c>
      <c r="I15" s="2">
        <f t="shared" si="7"/>
        <v>4.515625</v>
      </c>
      <c r="K15" s="16">
        <f t="shared" si="5"/>
        <v>1.1649999999999989</v>
      </c>
      <c r="L15" s="17">
        <f t="shared" si="0"/>
        <v>1.3572249999999975</v>
      </c>
      <c r="N15" s="14">
        <v>11</v>
      </c>
      <c r="O15" s="20" t="str">
        <f t="shared" si="6"/>
        <v/>
      </c>
      <c r="P15" s="20" t="str">
        <f t="shared" si="1"/>
        <v/>
      </c>
      <c r="Q15" s="24" t="e">
        <f t="shared" si="2"/>
        <v>#VALUE!</v>
      </c>
      <c r="R15" s="14" t="str">
        <f t="shared" si="3"/>
        <v/>
      </c>
      <c r="T15" s="2">
        <f t="shared" si="4"/>
        <v>4</v>
      </c>
    </row>
    <row r="16" spans="2:20" ht="14.4" customHeight="1" x14ac:dyDescent="0.3">
      <c r="F16" s="16">
        <f t="shared" si="8"/>
        <v>2.5</v>
      </c>
      <c r="G16" s="17">
        <f>I16</f>
        <v>6.25</v>
      </c>
      <c r="I16" s="2">
        <f t="shared" si="7"/>
        <v>6.25</v>
      </c>
      <c r="K16" s="16">
        <f t="shared" si="5"/>
        <v>1.1799999999999988</v>
      </c>
      <c r="L16" s="17">
        <f t="shared" si="0"/>
        <v>1.3923999999999972</v>
      </c>
      <c r="N16" s="14">
        <v>12</v>
      </c>
      <c r="O16" s="20" t="str">
        <f t="shared" si="6"/>
        <v/>
      </c>
      <c r="P16" s="20" t="str">
        <f t="shared" si="1"/>
        <v/>
      </c>
      <c r="Q16" s="24" t="e">
        <f t="shared" si="2"/>
        <v>#VALUE!</v>
      </c>
      <c r="R16" s="14" t="str">
        <f t="shared" si="3"/>
        <v/>
      </c>
      <c r="T16" s="2">
        <f t="shared" si="4"/>
        <v>4</v>
      </c>
    </row>
    <row r="17" spans="2:20" ht="14.4" customHeight="1" thickBot="1" x14ac:dyDescent="0.35">
      <c r="F17" s="16">
        <f t="shared" si="8"/>
        <v>2.5</v>
      </c>
      <c r="G17" s="17">
        <v>0</v>
      </c>
      <c r="I17" s="2"/>
      <c r="K17" s="16">
        <f t="shared" si="5"/>
        <v>1.1949999999999987</v>
      </c>
      <c r="L17" s="17">
        <f t="shared" si="0"/>
        <v>1.428024999999997</v>
      </c>
      <c r="N17" s="14">
        <v>13</v>
      </c>
      <c r="O17" s="20" t="str">
        <f t="shared" si="6"/>
        <v/>
      </c>
      <c r="P17" s="20" t="str">
        <f t="shared" si="1"/>
        <v/>
      </c>
      <c r="Q17" s="24" t="e">
        <f t="shared" si="2"/>
        <v>#VALUE!</v>
      </c>
      <c r="R17" s="14" t="str">
        <f t="shared" si="3"/>
        <v/>
      </c>
      <c r="T17" s="2">
        <f t="shared" si="4"/>
        <v>4</v>
      </c>
    </row>
    <row r="18" spans="2:20" ht="14.4" customHeight="1" thickBot="1" x14ac:dyDescent="0.35">
      <c r="B18" s="5"/>
      <c r="C18" s="30" t="s">
        <v>19</v>
      </c>
      <c r="F18" s="16">
        <f t="shared" si="8"/>
        <v>2.5</v>
      </c>
      <c r="G18" s="17">
        <f>I18</f>
        <v>6.25</v>
      </c>
      <c r="I18" s="2">
        <f t="shared" si="7"/>
        <v>6.25</v>
      </c>
      <c r="K18" s="16">
        <f t="shared" si="5"/>
        <v>1.2099999999999986</v>
      </c>
      <c r="L18" s="17">
        <f t="shared" si="0"/>
        <v>1.4640999999999966</v>
      </c>
      <c r="N18" s="14">
        <v>14</v>
      </c>
      <c r="O18" s="20" t="str">
        <f t="shared" si="6"/>
        <v/>
      </c>
      <c r="P18" s="20" t="str">
        <f t="shared" si="1"/>
        <v/>
      </c>
      <c r="Q18" s="24" t="e">
        <f t="shared" si="2"/>
        <v>#VALUE!</v>
      </c>
      <c r="R18" s="14" t="str">
        <f t="shared" si="3"/>
        <v/>
      </c>
      <c r="T18" s="2">
        <f t="shared" si="4"/>
        <v>4</v>
      </c>
    </row>
    <row r="19" spans="2:20" ht="14.4" customHeight="1" thickBot="1" x14ac:dyDescent="0.35">
      <c r="B19" s="28" t="s">
        <v>0</v>
      </c>
      <c r="C19" s="6">
        <v>1</v>
      </c>
      <c r="F19" s="16">
        <f t="shared" si="8"/>
        <v>2.875</v>
      </c>
      <c r="G19" s="17">
        <f>I19</f>
        <v>8.265625</v>
      </c>
      <c r="I19" s="2">
        <f t="shared" si="7"/>
        <v>8.265625</v>
      </c>
      <c r="K19" s="16">
        <f t="shared" si="5"/>
        <v>1.2249999999999985</v>
      </c>
      <c r="L19" s="17">
        <f t="shared" si="0"/>
        <v>1.5006249999999963</v>
      </c>
      <c r="N19" s="14">
        <v>15</v>
      </c>
      <c r="O19" s="20" t="str">
        <f t="shared" si="6"/>
        <v/>
      </c>
      <c r="P19" s="20" t="str">
        <f t="shared" si="1"/>
        <v/>
      </c>
      <c r="Q19" s="24" t="e">
        <f t="shared" si="2"/>
        <v>#VALUE!</v>
      </c>
      <c r="R19" s="14" t="str">
        <f t="shared" si="3"/>
        <v/>
      </c>
      <c r="T19" s="2">
        <f t="shared" si="4"/>
        <v>4</v>
      </c>
    </row>
    <row r="20" spans="2:20" ht="14.4" customHeight="1" thickBot="1" x14ac:dyDescent="0.35">
      <c r="B20" s="28" t="s">
        <v>1</v>
      </c>
      <c r="C20" s="3">
        <v>4</v>
      </c>
      <c r="F20" s="16">
        <f t="shared" si="8"/>
        <v>2.875</v>
      </c>
      <c r="G20" s="17">
        <v>0</v>
      </c>
      <c r="I20" s="2"/>
      <c r="K20" s="16">
        <f t="shared" si="5"/>
        <v>1.2399999999999984</v>
      </c>
      <c r="L20" s="17">
        <f t="shared" si="0"/>
        <v>1.5375999999999961</v>
      </c>
      <c r="N20" s="14">
        <v>16</v>
      </c>
      <c r="O20" s="20" t="str">
        <f t="shared" si="6"/>
        <v/>
      </c>
      <c r="P20" s="20" t="str">
        <f t="shared" si="1"/>
        <v/>
      </c>
      <c r="Q20" s="24" t="e">
        <f t="shared" si="2"/>
        <v>#VALUE!</v>
      </c>
      <c r="R20" s="14" t="str">
        <f t="shared" si="3"/>
        <v/>
      </c>
      <c r="T20" s="2">
        <f t="shared" si="4"/>
        <v>4</v>
      </c>
    </row>
    <row r="21" spans="2:20" ht="14.4" customHeight="1" thickBot="1" x14ac:dyDescent="0.35">
      <c r="B21" s="28" t="s">
        <v>2</v>
      </c>
      <c r="C21" s="3">
        <v>8</v>
      </c>
      <c r="F21" s="16">
        <f>IF(F18+$C$23&gt;$C$20,$C$20,F18+$C$23)</f>
        <v>2.875</v>
      </c>
      <c r="G21" s="17">
        <f>I21</f>
        <v>8.265625</v>
      </c>
      <c r="I21" s="2">
        <f t="shared" si="7"/>
        <v>8.265625</v>
      </c>
      <c r="K21" s="16">
        <f t="shared" si="5"/>
        <v>1.2549999999999983</v>
      </c>
      <c r="L21" s="17">
        <f t="shared" si="0"/>
        <v>1.5750249999999959</v>
      </c>
      <c r="N21" s="14">
        <v>17</v>
      </c>
      <c r="O21" s="20" t="str">
        <f t="shared" si="6"/>
        <v/>
      </c>
      <c r="P21" s="20" t="str">
        <f t="shared" si="1"/>
        <v/>
      </c>
      <c r="Q21" s="24" t="e">
        <f t="shared" si="2"/>
        <v>#VALUE!</v>
      </c>
      <c r="R21" s="14" t="str">
        <f t="shared" si="3"/>
        <v/>
      </c>
      <c r="T21" s="2">
        <f t="shared" si="4"/>
        <v>4</v>
      </c>
    </row>
    <row r="22" spans="2:20" ht="14.4" customHeight="1" thickBot="1" x14ac:dyDescent="0.35">
      <c r="B22" s="1"/>
      <c r="F22" s="16">
        <f t="shared" si="8"/>
        <v>3.25</v>
      </c>
      <c r="G22" s="17">
        <f t="shared" ref="G22:G85" si="9">I22</f>
        <v>10.5625</v>
      </c>
      <c r="I22" s="2">
        <f t="shared" si="7"/>
        <v>10.5625</v>
      </c>
      <c r="K22" s="16">
        <f t="shared" si="5"/>
        <v>1.2699999999999982</v>
      </c>
      <c r="L22" s="17">
        <f t="shared" si="0"/>
        <v>1.6128999999999956</v>
      </c>
      <c r="N22" s="14">
        <v>18</v>
      </c>
      <c r="O22" s="20" t="str">
        <f t="shared" si="6"/>
        <v/>
      </c>
      <c r="P22" s="20" t="str">
        <f t="shared" si="1"/>
        <v/>
      </c>
      <c r="Q22" s="24" t="e">
        <f t="shared" si="2"/>
        <v>#VALUE!</v>
      </c>
      <c r="R22" s="14" t="str">
        <f t="shared" si="3"/>
        <v/>
      </c>
      <c r="T22" s="2">
        <f t="shared" si="4"/>
        <v>4</v>
      </c>
    </row>
    <row r="23" spans="2:20" ht="14.4" customHeight="1" thickBot="1" x14ac:dyDescent="0.35">
      <c r="B23" s="28" t="s">
        <v>15</v>
      </c>
      <c r="C23" s="22">
        <f>(C20-C19)/C21</f>
        <v>0.375</v>
      </c>
      <c r="F23" s="16">
        <f t="shared" si="8"/>
        <v>3.25</v>
      </c>
      <c r="G23" s="17">
        <v>0</v>
      </c>
      <c r="I23" s="2"/>
      <c r="K23" s="16">
        <f t="shared" si="5"/>
        <v>1.2849999999999981</v>
      </c>
      <c r="L23" s="17">
        <f t="shared" si="0"/>
        <v>1.6512249999999953</v>
      </c>
      <c r="N23" s="14">
        <v>19</v>
      </c>
      <c r="O23" s="20" t="str">
        <f t="shared" si="6"/>
        <v/>
      </c>
      <c r="P23" s="20" t="str">
        <f t="shared" si="1"/>
        <v/>
      </c>
      <c r="Q23" s="24" t="e">
        <f t="shared" si="2"/>
        <v>#VALUE!</v>
      </c>
      <c r="R23" s="14" t="str">
        <f t="shared" si="3"/>
        <v/>
      </c>
      <c r="T23" s="2">
        <f t="shared" si="4"/>
        <v>4</v>
      </c>
    </row>
    <row r="24" spans="2:20" ht="14.4" customHeight="1" thickBot="1" x14ac:dyDescent="0.35">
      <c r="B24" s="1"/>
      <c r="F24" s="16">
        <f t="shared" si="8"/>
        <v>3.25</v>
      </c>
      <c r="G24" s="17">
        <f t="shared" si="9"/>
        <v>10.5625</v>
      </c>
      <c r="I24" s="2">
        <f t="shared" si="7"/>
        <v>10.5625</v>
      </c>
      <c r="K24" s="16">
        <f t="shared" si="5"/>
        <v>1.299999999999998</v>
      </c>
      <c r="L24" s="17">
        <f t="shared" si="0"/>
        <v>1.6899999999999948</v>
      </c>
      <c r="N24" s="14">
        <v>20</v>
      </c>
      <c r="O24" s="20" t="str">
        <f t="shared" si="6"/>
        <v/>
      </c>
      <c r="P24" s="20" t="str">
        <f t="shared" si="1"/>
        <v/>
      </c>
      <c r="Q24" s="24" t="e">
        <f t="shared" si="2"/>
        <v>#VALUE!</v>
      </c>
      <c r="R24" s="14" t="str">
        <f t="shared" si="3"/>
        <v/>
      </c>
      <c r="T24" s="2">
        <f t="shared" si="4"/>
        <v>4</v>
      </c>
    </row>
    <row r="25" spans="2:20" ht="14.4" customHeight="1" thickBot="1" x14ac:dyDescent="0.35">
      <c r="B25" s="33" t="s">
        <v>16</v>
      </c>
      <c r="C25" s="12">
        <f>S4</f>
        <v>21.0703125</v>
      </c>
      <c r="F25" s="16">
        <f t="shared" si="8"/>
        <v>3.625</v>
      </c>
      <c r="G25" s="17">
        <f t="shared" si="9"/>
        <v>13.140625</v>
      </c>
      <c r="I25" s="2">
        <f t="shared" si="7"/>
        <v>13.140625</v>
      </c>
      <c r="K25" s="16">
        <f t="shared" si="5"/>
        <v>1.3149999999999979</v>
      </c>
      <c r="L25" s="17">
        <f t="shared" si="0"/>
        <v>1.7292249999999947</v>
      </c>
      <c r="N25" s="14">
        <v>21</v>
      </c>
      <c r="O25" s="20" t="str">
        <f t="shared" si="6"/>
        <v/>
      </c>
      <c r="P25" s="20" t="str">
        <f t="shared" si="1"/>
        <v/>
      </c>
      <c r="Q25" s="24" t="e">
        <f t="shared" si="2"/>
        <v>#VALUE!</v>
      </c>
      <c r="R25" s="14" t="str">
        <f t="shared" si="3"/>
        <v/>
      </c>
      <c r="T25" s="2">
        <f t="shared" si="4"/>
        <v>4</v>
      </c>
    </row>
    <row r="26" spans="2:20" ht="14.4" customHeight="1" thickBot="1" x14ac:dyDescent="0.35">
      <c r="B26" s="33" t="s">
        <v>23</v>
      </c>
      <c r="C26" s="13" t="s">
        <v>9</v>
      </c>
      <c r="F26" s="16">
        <f t="shared" si="8"/>
        <v>3.625</v>
      </c>
      <c r="G26" s="17">
        <v>0</v>
      </c>
      <c r="I26" s="2"/>
      <c r="K26" s="16">
        <f t="shared" si="5"/>
        <v>1.3299999999999979</v>
      </c>
      <c r="L26" s="17">
        <f t="shared" si="0"/>
        <v>1.7688999999999944</v>
      </c>
      <c r="N26" s="14">
        <v>22</v>
      </c>
      <c r="O26" s="20" t="str">
        <f t="shared" si="6"/>
        <v/>
      </c>
      <c r="P26" s="20" t="str">
        <f t="shared" si="1"/>
        <v/>
      </c>
      <c r="Q26" s="24" t="e">
        <f t="shared" si="2"/>
        <v>#VALUE!</v>
      </c>
      <c r="R26" s="14" t="str">
        <f t="shared" si="3"/>
        <v/>
      </c>
      <c r="T26" s="2">
        <f t="shared" si="4"/>
        <v>4</v>
      </c>
    </row>
    <row r="27" spans="2:20" ht="14.4" customHeight="1" x14ac:dyDescent="0.3">
      <c r="F27" s="16">
        <f t="shared" si="8"/>
        <v>3.625</v>
      </c>
      <c r="G27" s="17">
        <f t="shared" si="9"/>
        <v>13.140625</v>
      </c>
      <c r="I27" s="2">
        <f t="shared" si="7"/>
        <v>13.140625</v>
      </c>
      <c r="K27" s="16">
        <f t="shared" si="5"/>
        <v>1.3449999999999978</v>
      </c>
      <c r="L27" s="17">
        <f t="shared" si="0"/>
        <v>1.8090249999999939</v>
      </c>
      <c r="N27" s="14">
        <v>23</v>
      </c>
      <c r="O27" s="20" t="str">
        <f t="shared" si="6"/>
        <v/>
      </c>
      <c r="P27" s="20" t="str">
        <f t="shared" si="1"/>
        <v/>
      </c>
      <c r="Q27" s="24" t="e">
        <f t="shared" si="2"/>
        <v>#VALUE!</v>
      </c>
      <c r="R27" s="14" t="str">
        <f t="shared" si="3"/>
        <v/>
      </c>
      <c r="T27" s="2">
        <f t="shared" si="4"/>
        <v>4</v>
      </c>
    </row>
    <row r="28" spans="2:20" ht="14.4" customHeight="1" x14ac:dyDescent="0.3">
      <c r="F28" s="16">
        <f t="shared" si="8"/>
        <v>4</v>
      </c>
      <c r="G28" s="17">
        <f t="shared" si="9"/>
        <v>16</v>
      </c>
      <c r="I28" s="2">
        <f t="shared" si="7"/>
        <v>16</v>
      </c>
      <c r="K28" s="16">
        <f t="shared" si="5"/>
        <v>1.3599999999999977</v>
      </c>
      <c r="L28" s="17">
        <f t="shared" si="0"/>
        <v>1.8495999999999937</v>
      </c>
      <c r="N28" s="14">
        <v>24</v>
      </c>
      <c r="O28" s="20" t="str">
        <f t="shared" si="6"/>
        <v/>
      </c>
      <c r="P28" s="20" t="str">
        <f t="shared" si="1"/>
        <v/>
      </c>
      <c r="Q28" s="24" t="e">
        <f t="shared" si="2"/>
        <v>#VALUE!</v>
      </c>
      <c r="R28" s="14" t="str">
        <f t="shared" si="3"/>
        <v/>
      </c>
      <c r="T28" s="2">
        <f t="shared" si="4"/>
        <v>4</v>
      </c>
    </row>
    <row r="29" spans="2:20" ht="14.4" customHeight="1" x14ac:dyDescent="0.3">
      <c r="F29" s="16">
        <f t="shared" si="8"/>
        <v>4</v>
      </c>
      <c r="G29" s="17">
        <v>0</v>
      </c>
      <c r="I29" s="2"/>
      <c r="K29" s="16">
        <f t="shared" si="5"/>
        <v>1.3749999999999976</v>
      </c>
      <c r="L29" s="17">
        <f t="shared" si="0"/>
        <v>1.8906249999999933</v>
      </c>
      <c r="N29" s="14">
        <v>25</v>
      </c>
      <c r="O29" s="20" t="str">
        <f t="shared" si="6"/>
        <v/>
      </c>
      <c r="P29" s="20" t="str">
        <f t="shared" si="1"/>
        <v/>
      </c>
      <c r="Q29" s="24" t="e">
        <f t="shared" si="2"/>
        <v>#VALUE!</v>
      </c>
      <c r="R29" s="14" t="str">
        <f t="shared" si="3"/>
        <v/>
      </c>
      <c r="T29" s="2">
        <f t="shared" si="4"/>
        <v>4</v>
      </c>
    </row>
    <row r="30" spans="2:20" ht="14.4" customHeight="1" x14ac:dyDescent="0.3">
      <c r="F30" s="16">
        <f t="shared" si="8"/>
        <v>4</v>
      </c>
      <c r="G30" s="17">
        <f t="shared" si="9"/>
        <v>16</v>
      </c>
      <c r="I30" s="2">
        <f t="shared" si="7"/>
        <v>16</v>
      </c>
      <c r="K30" s="16">
        <f t="shared" si="5"/>
        <v>1.3899999999999975</v>
      </c>
      <c r="L30" s="17">
        <f t="shared" si="0"/>
        <v>1.932099999999993</v>
      </c>
      <c r="N30" s="14">
        <v>26</v>
      </c>
      <c r="O30" s="20" t="str">
        <f t="shared" si="6"/>
        <v/>
      </c>
      <c r="P30" s="20" t="str">
        <f t="shared" si="1"/>
        <v/>
      </c>
      <c r="Q30" s="24" t="e">
        <f t="shared" si="2"/>
        <v>#VALUE!</v>
      </c>
      <c r="R30" s="14" t="str">
        <f t="shared" si="3"/>
        <v/>
      </c>
      <c r="T30" s="2">
        <f t="shared" si="4"/>
        <v>4</v>
      </c>
    </row>
    <row r="31" spans="2:20" ht="14.4" customHeight="1" x14ac:dyDescent="0.3">
      <c r="F31" s="16">
        <f t="shared" si="8"/>
        <v>4</v>
      </c>
      <c r="G31" s="17">
        <f t="shared" si="9"/>
        <v>16</v>
      </c>
      <c r="I31" s="2">
        <f t="shared" si="7"/>
        <v>16</v>
      </c>
      <c r="K31" s="16">
        <f t="shared" si="5"/>
        <v>1.4049999999999974</v>
      </c>
      <c r="L31" s="17">
        <f t="shared" si="0"/>
        <v>1.9740249999999926</v>
      </c>
      <c r="N31" s="14">
        <v>27</v>
      </c>
      <c r="O31" s="20" t="str">
        <f t="shared" si="6"/>
        <v/>
      </c>
      <c r="P31" s="20" t="str">
        <f t="shared" si="1"/>
        <v/>
      </c>
      <c r="Q31" s="24" t="e">
        <f t="shared" si="2"/>
        <v>#VALUE!</v>
      </c>
      <c r="R31" s="14" t="str">
        <f t="shared" si="3"/>
        <v/>
      </c>
      <c r="T31" s="2">
        <f t="shared" si="4"/>
        <v>4</v>
      </c>
    </row>
    <row r="32" spans="2:20" ht="14.4" customHeight="1" x14ac:dyDescent="0.3">
      <c r="F32" s="16">
        <f t="shared" si="8"/>
        <v>4</v>
      </c>
      <c r="G32" s="17">
        <v>0</v>
      </c>
      <c r="I32" s="2"/>
      <c r="K32" s="16">
        <f t="shared" si="5"/>
        <v>1.4199999999999973</v>
      </c>
      <c r="L32" s="17">
        <f t="shared" si="0"/>
        <v>2.0163999999999924</v>
      </c>
      <c r="N32" s="14">
        <v>28</v>
      </c>
      <c r="O32" s="20" t="str">
        <f t="shared" si="6"/>
        <v/>
      </c>
      <c r="P32" s="20" t="str">
        <f t="shared" si="1"/>
        <v/>
      </c>
      <c r="Q32" s="24" t="e">
        <f t="shared" si="2"/>
        <v>#VALUE!</v>
      </c>
      <c r="R32" s="14" t="str">
        <f t="shared" si="3"/>
        <v/>
      </c>
      <c r="T32" s="2">
        <f t="shared" si="4"/>
        <v>4</v>
      </c>
    </row>
    <row r="33" spans="6:20" x14ac:dyDescent="0.3">
      <c r="F33" s="16">
        <f t="shared" si="8"/>
        <v>4</v>
      </c>
      <c r="G33" s="17">
        <f t="shared" si="9"/>
        <v>16</v>
      </c>
      <c r="I33" s="2">
        <f t="shared" si="7"/>
        <v>16</v>
      </c>
      <c r="K33" s="16">
        <f t="shared" si="5"/>
        <v>1.4349999999999972</v>
      </c>
      <c r="L33" s="17">
        <f t="shared" si="0"/>
        <v>2.0592249999999921</v>
      </c>
      <c r="N33" s="14">
        <v>29</v>
      </c>
      <c r="O33" s="20" t="str">
        <f t="shared" si="6"/>
        <v/>
      </c>
      <c r="P33" s="20" t="str">
        <f t="shared" si="1"/>
        <v/>
      </c>
      <c r="Q33" s="24" t="e">
        <f t="shared" si="2"/>
        <v>#VALUE!</v>
      </c>
      <c r="R33" s="14" t="str">
        <f t="shared" si="3"/>
        <v/>
      </c>
      <c r="T33" s="2">
        <f t="shared" si="4"/>
        <v>4</v>
      </c>
    </row>
    <row r="34" spans="6:20" x14ac:dyDescent="0.3">
      <c r="F34" s="16">
        <f t="shared" si="8"/>
        <v>4</v>
      </c>
      <c r="G34" s="17">
        <f t="shared" si="9"/>
        <v>16</v>
      </c>
      <c r="I34" s="2">
        <f t="shared" si="7"/>
        <v>16</v>
      </c>
      <c r="K34" s="16">
        <f t="shared" si="5"/>
        <v>1.4499999999999971</v>
      </c>
      <c r="L34" s="17">
        <f t="shared" si="0"/>
        <v>2.1024999999999916</v>
      </c>
      <c r="N34" s="14">
        <v>30</v>
      </c>
      <c r="O34" s="20" t="str">
        <f t="shared" si="6"/>
        <v/>
      </c>
      <c r="P34" s="20" t="str">
        <f t="shared" si="1"/>
        <v/>
      </c>
      <c r="Q34" s="24" t="e">
        <f t="shared" si="2"/>
        <v>#VALUE!</v>
      </c>
      <c r="R34" s="14" t="str">
        <f t="shared" si="3"/>
        <v/>
      </c>
      <c r="T34" s="2">
        <f t="shared" si="4"/>
        <v>4</v>
      </c>
    </row>
    <row r="35" spans="6:20" x14ac:dyDescent="0.3">
      <c r="F35" s="16">
        <f t="shared" si="8"/>
        <v>4</v>
      </c>
      <c r="G35" s="17">
        <v>0</v>
      </c>
      <c r="I35" s="2"/>
      <c r="K35" s="16">
        <f t="shared" si="5"/>
        <v>1.464999999999997</v>
      </c>
      <c r="L35" s="17">
        <f t="shared" si="0"/>
        <v>2.1462249999999909</v>
      </c>
      <c r="N35" s="14">
        <v>31</v>
      </c>
      <c r="O35" s="20" t="str">
        <f t="shared" si="6"/>
        <v/>
      </c>
      <c r="P35" s="20" t="str">
        <f t="shared" si="1"/>
        <v/>
      </c>
      <c r="Q35" s="24" t="e">
        <f t="shared" si="2"/>
        <v>#VALUE!</v>
      </c>
      <c r="R35" s="14" t="str">
        <f t="shared" si="3"/>
        <v/>
      </c>
      <c r="T35" s="2">
        <f t="shared" si="4"/>
        <v>4</v>
      </c>
    </row>
    <row r="36" spans="6:20" x14ac:dyDescent="0.3">
      <c r="F36" s="16">
        <f t="shared" si="8"/>
        <v>4</v>
      </c>
      <c r="G36" s="17">
        <f t="shared" si="9"/>
        <v>16</v>
      </c>
      <c r="I36" s="2">
        <f t="shared" si="7"/>
        <v>16</v>
      </c>
      <c r="K36" s="16">
        <f t="shared" si="5"/>
        <v>1.4799999999999969</v>
      </c>
      <c r="L36" s="17">
        <f t="shared" si="0"/>
        <v>2.1903999999999906</v>
      </c>
      <c r="N36" s="14">
        <v>32</v>
      </c>
      <c r="O36" s="20" t="str">
        <f t="shared" si="6"/>
        <v/>
      </c>
      <c r="P36" s="20" t="str">
        <f t="shared" si="1"/>
        <v/>
      </c>
      <c r="Q36" s="24" t="e">
        <f t="shared" si="2"/>
        <v>#VALUE!</v>
      </c>
      <c r="R36" s="14" t="str">
        <f t="shared" si="3"/>
        <v/>
      </c>
      <c r="T36" s="2">
        <f t="shared" si="4"/>
        <v>4</v>
      </c>
    </row>
    <row r="37" spans="6:20" x14ac:dyDescent="0.3">
      <c r="F37" s="16">
        <f t="shared" si="8"/>
        <v>4</v>
      </c>
      <c r="G37" s="17">
        <f t="shared" si="9"/>
        <v>16</v>
      </c>
      <c r="I37" s="2">
        <f t="shared" si="7"/>
        <v>16</v>
      </c>
      <c r="K37" s="16">
        <f t="shared" si="5"/>
        <v>1.4949999999999968</v>
      </c>
      <c r="L37" s="17">
        <f t="shared" si="0"/>
        <v>2.2350249999999905</v>
      </c>
      <c r="N37" s="14">
        <v>33</v>
      </c>
      <c r="O37" s="20" t="str">
        <f t="shared" si="6"/>
        <v/>
      </c>
      <c r="P37" s="20" t="str">
        <f t="shared" ref="P37:P68" si="10">IF(T37=T36,"",Q37)</f>
        <v/>
      </c>
      <c r="Q37" s="24" t="e">
        <f t="shared" si="2"/>
        <v>#VALUE!</v>
      </c>
      <c r="R37" s="14" t="str">
        <f t="shared" ref="R37:R68" si="11">IF(P37="","",(P37+P36)*(T37-T36)/2+R36)</f>
        <v/>
      </c>
      <c r="T37" s="2">
        <f t="shared" ref="T37:T69" si="12">IF(T36+$C$23&gt;$C$20,$C$20,T36+$C$23)</f>
        <v>4</v>
      </c>
    </row>
    <row r="38" spans="6:20" x14ac:dyDescent="0.3">
      <c r="F38" s="16">
        <f t="shared" si="8"/>
        <v>4</v>
      </c>
      <c r="G38" s="17">
        <v>0</v>
      </c>
      <c r="I38" s="2"/>
      <c r="K38" s="16">
        <f t="shared" si="5"/>
        <v>1.5099999999999967</v>
      </c>
      <c r="L38" s="17">
        <f t="shared" si="0"/>
        <v>2.2800999999999898</v>
      </c>
      <c r="N38" s="14">
        <v>34</v>
      </c>
      <c r="O38" s="20" t="str">
        <f t="shared" si="6"/>
        <v/>
      </c>
      <c r="P38" s="20" t="str">
        <f t="shared" si="10"/>
        <v/>
      </c>
      <c r="Q38" s="24" t="e">
        <f t="shared" si="2"/>
        <v>#VALUE!</v>
      </c>
      <c r="R38" s="14" t="str">
        <f t="shared" si="11"/>
        <v/>
      </c>
      <c r="T38" s="2">
        <f t="shared" si="12"/>
        <v>4</v>
      </c>
    </row>
    <row r="39" spans="6:20" x14ac:dyDescent="0.3">
      <c r="F39" s="16">
        <f t="shared" si="8"/>
        <v>4</v>
      </c>
      <c r="G39" s="17">
        <f t="shared" si="9"/>
        <v>16</v>
      </c>
      <c r="I39" s="2">
        <f t="shared" si="7"/>
        <v>16</v>
      </c>
      <c r="K39" s="16">
        <f t="shared" si="5"/>
        <v>1.5249999999999966</v>
      </c>
      <c r="L39" s="17">
        <f t="shared" si="0"/>
        <v>2.3256249999999894</v>
      </c>
      <c r="N39" s="14">
        <v>35</v>
      </c>
      <c r="O39" s="20" t="str">
        <f t="shared" si="6"/>
        <v/>
      </c>
      <c r="P39" s="20" t="str">
        <f t="shared" si="10"/>
        <v/>
      </c>
      <c r="Q39" s="24" t="e">
        <f t="shared" si="2"/>
        <v>#VALUE!</v>
      </c>
      <c r="R39" s="14" t="str">
        <f t="shared" si="11"/>
        <v/>
      </c>
      <c r="T39" s="2">
        <f t="shared" si="12"/>
        <v>4</v>
      </c>
    </row>
    <row r="40" spans="6:20" x14ac:dyDescent="0.3">
      <c r="F40" s="16">
        <f t="shared" si="8"/>
        <v>4</v>
      </c>
      <c r="G40" s="17">
        <f t="shared" si="9"/>
        <v>16</v>
      </c>
      <c r="I40" s="2">
        <f t="shared" si="7"/>
        <v>16</v>
      </c>
      <c r="K40" s="16">
        <f t="shared" si="5"/>
        <v>1.5399999999999965</v>
      </c>
      <c r="L40" s="17">
        <f t="shared" si="0"/>
        <v>2.3715999999999893</v>
      </c>
      <c r="N40" s="14">
        <v>36</v>
      </c>
      <c r="O40" s="20" t="str">
        <f t="shared" si="6"/>
        <v/>
      </c>
      <c r="P40" s="20" t="str">
        <f t="shared" si="10"/>
        <v/>
      </c>
      <c r="Q40" s="24" t="e">
        <f t="shared" si="2"/>
        <v>#VALUE!</v>
      </c>
      <c r="R40" s="14" t="str">
        <f t="shared" si="11"/>
        <v/>
      </c>
      <c r="T40" s="2">
        <f t="shared" si="12"/>
        <v>4</v>
      </c>
    </row>
    <row r="41" spans="6:20" x14ac:dyDescent="0.3">
      <c r="F41" s="16">
        <f t="shared" si="8"/>
        <v>4</v>
      </c>
      <c r="G41" s="17">
        <v>0</v>
      </c>
      <c r="I41" s="2"/>
      <c r="K41" s="16">
        <f t="shared" si="5"/>
        <v>1.5549999999999964</v>
      </c>
      <c r="L41" s="17">
        <f t="shared" si="0"/>
        <v>2.4180249999999885</v>
      </c>
      <c r="N41" s="14">
        <v>37</v>
      </c>
      <c r="O41" s="20" t="str">
        <f t="shared" si="6"/>
        <v/>
      </c>
      <c r="P41" s="20" t="str">
        <f t="shared" si="10"/>
        <v/>
      </c>
      <c r="Q41" s="24" t="e">
        <f t="shared" si="2"/>
        <v>#VALUE!</v>
      </c>
      <c r="R41" s="14" t="str">
        <f t="shared" si="11"/>
        <v/>
      </c>
      <c r="T41" s="2">
        <f t="shared" si="12"/>
        <v>4</v>
      </c>
    </row>
    <row r="42" spans="6:20" x14ac:dyDescent="0.3">
      <c r="F42" s="16">
        <f t="shared" si="8"/>
        <v>4</v>
      </c>
      <c r="G42" s="17">
        <f t="shared" si="9"/>
        <v>16</v>
      </c>
      <c r="I42" s="2">
        <f t="shared" si="7"/>
        <v>16</v>
      </c>
      <c r="K42" s="16">
        <f t="shared" si="5"/>
        <v>1.5699999999999963</v>
      </c>
      <c r="L42" s="17">
        <f t="shared" si="0"/>
        <v>2.4648999999999885</v>
      </c>
      <c r="N42" s="14">
        <v>38</v>
      </c>
      <c r="O42" s="20" t="str">
        <f t="shared" si="6"/>
        <v/>
      </c>
      <c r="P42" s="20" t="str">
        <f t="shared" si="10"/>
        <v/>
      </c>
      <c r="Q42" s="24" t="e">
        <f t="shared" si="2"/>
        <v>#VALUE!</v>
      </c>
      <c r="R42" s="14" t="str">
        <f t="shared" si="11"/>
        <v/>
      </c>
      <c r="T42" s="2">
        <f t="shared" si="12"/>
        <v>4</v>
      </c>
    </row>
    <row r="43" spans="6:20" x14ac:dyDescent="0.3">
      <c r="F43" s="16">
        <f t="shared" si="8"/>
        <v>4</v>
      </c>
      <c r="G43" s="17">
        <f t="shared" si="9"/>
        <v>16</v>
      </c>
      <c r="I43" s="2">
        <f t="shared" si="7"/>
        <v>16</v>
      </c>
      <c r="K43" s="16">
        <f t="shared" si="5"/>
        <v>1.5849999999999962</v>
      </c>
      <c r="L43" s="17">
        <f t="shared" si="0"/>
        <v>2.5122249999999879</v>
      </c>
      <c r="N43" s="14">
        <v>39</v>
      </c>
      <c r="O43" s="20" t="str">
        <f t="shared" si="6"/>
        <v/>
      </c>
      <c r="P43" s="20" t="str">
        <f t="shared" si="10"/>
        <v/>
      </c>
      <c r="Q43" s="24" t="e">
        <f t="shared" si="2"/>
        <v>#VALUE!</v>
      </c>
      <c r="R43" s="14" t="str">
        <f t="shared" si="11"/>
        <v/>
      </c>
      <c r="T43" s="2">
        <f t="shared" si="12"/>
        <v>4</v>
      </c>
    </row>
    <row r="44" spans="6:20" x14ac:dyDescent="0.3">
      <c r="F44" s="16">
        <f t="shared" si="8"/>
        <v>4</v>
      </c>
      <c r="G44" s="17">
        <v>0</v>
      </c>
      <c r="I44" s="2"/>
      <c r="K44" s="16">
        <f t="shared" si="5"/>
        <v>1.5999999999999961</v>
      </c>
      <c r="L44" s="17">
        <f t="shared" si="0"/>
        <v>2.5599999999999876</v>
      </c>
      <c r="N44" s="14">
        <v>40</v>
      </c>
      <c r="O44" s="20" t="str">
        <f t="shared" si="6"/>
        <v/>
      </c>
      <c r="P44" s="20" t="str">
        <f t="shared" si="10"/>
        <v/>
      </c>
      <c r="Q44" s="24" t="e">
        <f t="shared" si="2"/>
        <v>#VALUE!</v>
      </c>
      <c r="R44" s="14" t="str">
        <f t="shared" si="11"/>
        <v/>
      </c>
      <c r="T44" s="2">
        <f t="shared" si="12"/>
        <v>4</v>
      </c>
    </row>
    <row r="45" spans="6:20" x14ac:dyDescent="0.3">
      <c r="F45" s="16">
        <f t="shared" si="8"/>
        <v>4</v>
      </c>
      <c r="G45" s="17">
        <f t="shared" si="9"/>
        <v>16</v>
      </c>
      <c r="I45" s="2">
        <f t="shared" si="7"/>
        <v>16</v>
      </c>
      <c r="K45" s="16">
        <f t="shared" si="5"/>
        <v>1.614999999999996</v>
      </c>
      <c r="L45" s="17">
        <f t="shared" si="0"/>
        <v>2.6082249999999871</v>
      </c>
      <c r="N45" s="14">
        <v>41</v>
      </c>
      <c r="O45" s="20" t="str">
        <f t="shared" si="6"/>
        <v/>
      </c>
      <c r="P45" s="20" t="str">
        <f t="shared" si="10"/>
        <v/>
      </c>
      <c r="Q45" s="24" t="e">
        <f t="shared" si="2"/>
        <v>#VALUE!</v>
      </c>
      <c r="R45" s="14" t="str">
        <f t="shared" si="11"/>
        <v/>
      </c>
      <c r="T45" s="2">
        <f t="shared" si="12"/>
        <v>4</v>
      </c>
    </row>
    <row r="46" spans="6:20" x14ac:dyDescent="0.3">
      <c r="F46" s="16">
        <f t="shared" si="8"/>
        <v>4</v>
      </c>
      <c r="G46" s="17">
        <f t="shared" si="9"/>
        <v>16</v>
      </c>
      <c r="I46" s="2">
        <f t="shared" si="7"/>
        <v>16</v>
      </c>
      <c r="K46" s="16">
        <f t="shared" si="5"/>
        <v>1.6299999999999959</v>
      </c>
      <c r="L46" s="17">
        <f t="shared" si="0"/>
        <v>2.6568999999999865</v>
      </c>
      <c r="N46" s="14">
        <v>42</v>
      </c>
      <c r="O46" s="20" t="str">
        <f t="shared" si="6"/>
        <v/>
      </c>
      <c r="P46" s="20" t="str">
        <f t="shared" si="10"/>
        <v/>
      </c>
      <c r="Q46" s="24" t="e">
        <f t="shared" si="2"/>
        <v>#VALUE!</v>
      </c>
      <c r="R46" s="14" t="str">
        <f t="shared" si="11"/>
        <v/>
      </c>
      <c r="T46" s="2">
        <f t="shared" si="12"/>
        <v>4</v>
      </c>
    </row>
    <row r="47" spans="6:20" x14ac:dyDescent="0.3">
      <c r="F47" s="16">
        <f t="shared" si="8"/>
        <v>4</v>
      </c>
      <c r="G47" s="17">
        <v>0</v>
      </c>
      <c r="I47" s="2"/>
      <c r="K47" s="16">
        <f t="shared" si="5"/>
        <v>1.6449999999999958</v>
      </c>
      <c r="L47" s="17">
        <f t="shared" si="0"/>
        <v>2.7060249999999861</v>
      </c>
      <c r="N47" s="14">
        <v>43</v>
      </c>
      <c r="O47" s="20" t="str">
        <f t="shared" si="6"/>
        <v/>
      </c>
      <c r="P47" s="20" t="str">
        <f t="shared" si="10"/>
        <v/>
      </c>
      <c r="Q47" s="24" t="e">
        <f t="shared" si="2"/>
        <v>#VALUE!</v>
      </c>
      <c r="R47" s="14" t="str">
        <f t="shared" si="11"/>
        <v/>
      </c>
      <c r="T47" s="2">
        <f t="shared" si="12"/>
        <v>4</v>
      </c>
    </row>
    <row r="48" spans="6:20" x14ac:dyDescent="0.3">
      <c r="F48" s="16">
        <f t="shared" si="8"/>
        <v>4</v>
      </c>
      <c r="G48" s="17">
        <f t="shared" si="9"/>
        <v>16</v>
      </c>
      <c r="I48" s="2">
        <f t="shared" si="7"/>
        <v>16</v>
      </c>
      <c r="K48" s="16">
        <f t="shared" si="5"/>
        <v>1.6599999999999957</v>
      </c>
      <c r="L48" s="17">
        <f t="shared" si="0"/>
        <v>2.7555999999999856</v>
      </c>
      <c r="N48" s="14">
        <v>44</v>
      </c>
      <c r="O48" s="20" t="str">
        <f t="shared" si="6"/>
        <v/>
      </c>
      <c r="P48" s="20" t="str">
        <f t="shared" si="10"/>
        <v/>
      </c>
      <c r="Q48" s="24" t="e">
        <f t="shared" si="2"/>
        <v>#VALUE!</v>
      </c>
      <c r="R48" s="14" t="str">
        <f t="shared" si="11"/>
        <v/>
      </c>
      <c r="T48" s="2">
        <f t="shared" si="12"/>
        <v>4</v>
      </c>
    </row>
    <row r="49" spans="6:20" x14ac:dyDescent="0.3">
      <c r="F49" s="16">
        <f t="shared" si="8"/>
        <v>4</v>
      </c>
      <c r="G49" s="17">
        <f t="shared" si="9"/>
        <v>16</v>
      </c>
      <c r="I49" s="2">
        <f t="shared" si="7"/>
        <v>16</v>
      </c>
      <c r="K49" s="16">
        <f t="shared" si="5"/>
        <v>1.6749999999999956</v>
      </c>
      <c r="L49" s="17">
        <f t="shared" si="0"/>
        <v>2.8056249999999854</v>
      </c>
      <c r="N49" s="14">
        <v>45</v>
      </c>
      <c r="O49" s="20" t="str">
        <f t="shared" si="6"/>
        <v/>
      </c>
      <c r="P49" s="20" t="str">
        <f t="shared" si="10"/>
        <v/>
      </c>
      <c r="Q49" s="24" t="e">
        <f t="shared" si="2"/>
        <v>#VALUE!</v>
      </c>
      <c r="R49" s="14" t="str">
        <f t="shared" si="11"/>
        <v/>
      </c>
      <c r="T49" s="2">
        <f t="shared" si="12"/>
        <v>4</v>
      </c>
    </row>
    <row r="50" spans="6:20" x14ac:dyDescent="0.3">
      <c r="F50" s="16">
        <f t="shared" si="8"/>
        <v>4</v>
      </c>
      <c r="G50" s="17">
        <v>0</v>
      </c>
      <c r="I50" s="2"/>
      <c r="K50" s="16">
        <f t="shared" si="5"/>
        <v>1.6899999999999955</v>
      </c>
      <c r="L50" s="17">
        <f t="shared" si="0"/>
        <v>2.856099999999985</v>
      </c>
      <c r="N50" s="14">
        <v>46</v>
      </c>
      <c r="O50" s="20" t="str">
        <f t="shared" si="6"/>
        <v/>
      </c>
      <c r="P50" s="20" t="str">
        <f t="shared" si="10"/>
        <v/>
      </c>
      <c r="Q50" s="24" t="e">
        <f t="shared" si="2"/>
        <v>#VALUE!</v>
      </c>
      <c r="R50" s="14" t="str">
        <f t="shared" si="11"/>
        <v/>
      </c>
      <c r="T50" s="2">
        <f t="shared" si="12"/>
        <v>4</v>
      </c>
    </row>
    <row r="51" spans="6:20" x14ac:dyDescent="0.3">
      <c r="F51" s="16">
        <f t="shared" si="8"/>
        <v>4</v>
      </c>
      <c r="G51" s="17">
        <f t="shared" si="9"/>
        <v>16</v>
      </c>
      <c r="I51" s="2">
        <f t="shared" si="7"/>
        <v>16</v>
      </c>
      <c r="K51" s="16">
        <f t="shared" si="5"/>
        <v>1.7049999999999954</v>
      </c>
      <c r="L51" s="17">
        <f t="shared" si="0"/>
        <v>2.9070249999999844</v>
      </c>
      <c r="N51" s="14">
        <v>47</v>
      </c>
      <c r="O51" s="20" t="str">
        <f t="shared" si="6"/>
        <v/>
      </c>
      <c r="P51" s="20" t="str">
        <f t="shared" si="10"/>
        <v/>
      </c>
      <c r="Q51" s="24" t="e">
        <f t="shared" si="2"/>
        <v>#VALUE!</v>
      </c>
      <c r="R51" s="14" t="str">
        <f t="shared" si="11"/>
        <v/>
      </c>
      <c r="T51" s="2">
        <f t="shared" si="12"/>
        <v>4</v>
      </c>
    </row>
    <row r="52" spans="6:20" x14ac:dyDescent="0.3">
      <c r="F52" s="16">
        <f t="shared" si="8"/>
        <v>4</v>
      </c>
      <c r="G52" s="17">
        <f t="shared" si="9"/>
        <v>16</v>
      </c>
      <c r="I52" s="2">
        <f t="shared" si="7"/>
        <v>16</v>
      </c>
      <c r="K52" s="16">
        <f t="shared" si="5"/>
        <v>1.7199999999999953</v>
      </c>
      <c r="L52" s="17">
        <f t="shared" si="0"/>
        <v>2.9583999999999837</v>
      </c>
      <c r="N52" s="14">
        <v>48</v>
      </c>
      <c r="O52" s="20" t="str">
        <f t="shared" si="6"/>
        <v/>
      </c>
      <c r="P52" s="20" t="str">
        <f t="shared" si="10"/>
        <v/>
      </c>
      <c r="Q52" s="24" t="e">
        <f t="shared" si="2"/>
        <v>#VALUE!</v>
      </c>
      <c r="R52" s="14" t="str">
        <f t="shared" si="11"/>
        <v/>
      </c>
      <c r="T52" s="2">
        <f t="shared" si="12"/>
        <v>4</v>
      </c>
    </row>
    <row r="53" spans="6:20" x14ac:dyDescent="0.3">
      <c r="F53" s="16">
        <f t="shared" si="8"/>
        <v>4</v>
      </c>
      <c r="G53" s="17">
        <v>0</v>
      </c>
      <c r="I53" s="2"/>
      <c r="K53" s="16">
        <f t="shared" si="5"/>
        <v>1.7349999999999952</v>
      </c>
      <c r="L53" s="17">
        <f t="shared" si="0"/>
        <v>3.0102249999999833</v>
      </c>
      <c r="N53" s="14">
        <v>49</v>
      </c>
      <c r="O53" s="20" t="str">
        <f t="shared" si="6"/>
        <v/>
      </c>
      <c r="P53" s="20" t="str">
        <f t="shared" si="10"/>
        <v/>
      </c>
      <c r="Q53" s="24" t="e">
        <f t="shared" si="2"/>
        <v>#VALUE!</v>
      </c>
      <c r="R53" s="14" t="str">
        <f t="shared" si="11"/>
        <v/>
      </c>
      <c r="T53" s="2">
        <f t="shared" si="12"/>
        <v>4</v>
      </c>
    </row>
    <row r="54" spans="6:20" x14ac:dyDescent="0.3">
      <c r="F54" s="16">
        <f t="shared" si="8"/>
        <v>4</v>
      </c>
      <c r="G54" s="17">
        <f t="shared" si="9"/>
        <v>16</v>
      </c>
      <c r="I54" s="2">
        <f t="shared" si="7"/>
        <v>16</v>
      </c>
      <c r="K54" s="16">
        <f t="shared" si="5"/>
        <v>1.7499999999999951</v>
      </c>
      <c r="L54" s="17">
        <f t="shared" si="0"/>
        <v>3.0624999999999831</v>
      </c>
      <c r="N54" s="14">
        <v>50</v>
      </c>
      <c r="O54" s="20" t="str">
        <f t="shared" si="6"/>
        <v/>
      </c>
      <c r="P54" s="20" t="str">
        <f t="shared" si="10"/>
        <v/>
      </c>
      <c r="Q54" s="24" t="e">
        <f t="shared" si="2"/>
        <v>#VALUE!</v>
      </c>
      <c r="R54" s="14" t="str">
        <f t="shared" si="11"/>
        <v/>
      </c>
      <c r="T54" s="2">
        <f t="shared" si="12"/>
        <v>4</v>
      </c>
    </row>
    <row r="55" spans="6:20" x14ac:dyDescent="0.3">
      <c r="F55" s="16">
        <f t="shared" si="8"/>
        <v>4</v>
      </c>
      <c r="G55" s="17">
        <f t="shared" si="9"/>
        <v>16</v>
      </c>
      <c r="I55" s="2">
        <f t="shared" si="7"/>
        <v>16</v>
      </c>
      <c r="K55" s="16">
        <f t="shared" si="5"/>
        <v>1.764999999999995</v>
      </c>
      <c r="L55" s="17">
        <f t="shared" si="0"/>
        <v>3.1152249999999824</v>
      </c>
      <c r="N55" s="14">
        <v>51</v>
      </c>
      <c r="O55" s="20" t="str">
        <f t="shared" si="6"/>
        <v/>
      </c>
      <c r="P55" s="20" t="str">
        <f t="shared" si="10"/>
        <v/>
      </c>
      <c r="Q55" s="24" t="e">
        <f t="shared" si="2"/>
        <v>#VALUE!</v>
      </c>
      <c r="R55" s="14" t="str">
        <f t="shared" si="11"/>
        <v/>
      </c>
      <c r="T55" s="2">
        <f t="shared" si="12"/>
        <v>4</v>
      </c>
    </row>
    <row r="56" spans="6:20" x14ac:dyDescent="0.3">
      <c r="F56" s="16">
        <f t="shared" si="8"/>
        <v>4</v>
      </c>
      <c r="G56" s="17">
        <v>0</v>
      </c>
      <c r="I56" s="2"/>
      <c r="K56" s="16">
        <f t="shared" si="5"/>
        <v>1.7799999999999949</v>
      </c>
      <c r="L56" s="17">
        <f t="shared" si="0"/>
        <v>3.1683999999999819</v>
      </c>
      <c r="N56" s="14">
        <v>52</v>
      </c>
      <c r="O56" s="20" t="str">
        <f t="shared" si="6"/>
        <v/>
      </c>
      <c r="P56" s="20" t="str">
        <f t="shared" si="10"/>
        <v/>
      </c>
      <c r="Q56" s="24" t="e">
        <f t="shared" si="2"/>
        <v>#VALUE!</v>
      </c>
      <c r="R56" s="14" t="str">
        <f t="shared" si="11"/>
        <v/>
      </c>
      <c r="T56" s="2">
        <f t="shared" si="12"/>
        <v>4</v>
      </c>
    </row>
    <row r="57" spans="6:20" x14ac:dyDescent="0.3">
      <c r="F57" s="16">
        <f t="shared" si="8"/>
        <v>4</v>
      </c>
      <c r="G57" s="17">
        <f t="shared" si="9"/>
        <v>16</v>
      </c>
      <c r="I57" s="2">
        <f t="shared" si="7"/>
        <v>16</v>
      </c>
      <c r="K57" s="16">
        <f t="shared" si="5"/>
        <v>1.7949999999999948</v>
      </c>
      <c r="L57" s="17">
        <f t="shared" si="0"/>
        <v>3.2220249999999813</v>
      </c>
      <c r="N57" s="14">
        <v>53</v>
      </c>
      <c r="O57" s="20" t="str">
        <f t="shared" si="6"/>
        <v/>
      </c>
      <c r="P57" s="20" t="str">
        <f t="shared" si="10"/>
        <v/>
      </c>
      <c r="Q57" s="24" t="e">
        <f t="shared" si="2"/>
        <v>#VALUE!</v>
      </c>
      <c r="R57" s="14" t="str">
        <f t="shared" si="11"/>
        <v/>
      </c>
      <c r="T57" s="2">
        <f t="shared" si="12"/>
        <v>4</v>
      </c>
    </row>
    <row r="58" spans="6:20" x14ac:dyDescent="0.3">
      <c r="F58" s="16">
        <f t="shared" si="8"/>
        <v>4</v>
      </c>
      <c r="G58" s="17">
        <f t="shared" si="9"/>
        <v>16</v>
      </c>
      <c r="I58" s="2">
        <f t="shared" si="7"/>
        <v>16</v>
      </c>
      <c r="K58" s="16">
        <f t="shared" si="5"/>
        <v>1.8099999999999947</v>
      </c>
      <c r="L58" s="17">
        <f t="shared" si="0"/>
        <v>3.2760999999999809</v>
      </c>
      <c r="N58" s="14">
        <v>54</v>
      </c>
      <c r="O58" s="20" t="str">
        <f t="shared" si="6"/>
        <v/>
      </c>
      <c r="P58" s="20" t="str">
        <f t="shared" si="10"/>
        <v/>
      </c>
      <c r="Q58" s="24" t="e">
        <f t="shared" si="2"/>
        <v>#VALUE!</v>
      </c>
      <c r="R58" s="14" t="str">
        <f t="shared" si="11"/>
        <v/>
      </c>
      <c r="T58" s="2">
        <f t="shared" si="12"/>
        <v>4</v>
      </c>
    </row>
    <row r="59" spans="6:20" x14ac:dyDescent="0.3">
      <c r="F59" s="16">
        <f t="shared" si="8"/>
        <v>4</v>
      </c>
      <c r="G59" s="17">
        <v>0</v>
      </c>
      <c r="I59" s="2"/>
      <c r="K59" s="16">
        <f t="shared" si="5"/>
        <v>1.8249999999999946</v>
      </c>
      <c r="L59" s="17">
        <f t="shared" si="0"/>
        <v>3.3306249999999804</v>
      </c>
      <c r="N59" s="14">
        <v>55</v>
      </c>
      <c r="O59" s="20" t="str">
        <f t="shared" si="6"/>
        <v/>
      </c>
      <c r="P59" s="20" t="str">
        <f t="shared" si="10"/>
        <v/>
      </c>
      <c r="Q59" s="24" t="e">
        <f t="shared" si="2"/>
        <v>#VALUE!</v>
      </c>
      <c r="R59" s="14" t="str">
        <f t="shared" si="11"/>
        <v/>
      </c>
      <c r="T59" s="2">
        <f t="shared" si="12"/>
        <v>4</v>
      </c>
    </row>
    <row r="60" spans="6:20" x14ac:dyDescent="0.3">
      <c r="F60" s="16">
        <f t="shared" si="8"/>
        <v>4</v>
      </c>
      <c r="G60" s="17">
        <f t="shared" si="9"/>
        <v>16</v>
      </c>
      <c r="I60" s="2">
        <f t="shared" si="7"/>
        <v>16</v>
      </c>
      <c r="K60" s="16">
        <f t="shared" si="5"/>
        <v>1.8399999999999945</v>
      </c>
      <c r="L60" s="17">
        <f t="shared" si="0"/>
        <v>3.3855999999999797</v>
      </c>
      <c r="N60" s="14">
        <v>56</v>
      </c>
      <c r="O60" s="20" t="str">
        <f t="shared" si="6"/>
        <v/>
      </c>
      <c r="P60" s="20" t="str">
        <f t="shared" si="10"/>
        <v/>
      </c>
      <c r="Q60" s="24" t="e">
        <f t="shared" si="2"/>
        <v>#VALUE!</v>
      </c>
      <c r="R60" s="14" t="str">
        <f t="shared" si="11"/>
        <v/>
      </c>
      <c r="T60" s="2">
        <f t="shared" si="12"/>
        <v>4</v>
      </c>
    </row>
    <row r="61" spans="6:20" x14ac:dyDescent="0.3">
      <c r="F61" s="16">
        <f t="shared" si="8"/>
        <v>4</v>
      </c>
      <c r="G61" s="17">
        <f t="shared" si="9"/>
        <v>16</v>
      </c>
      <c r="I61" s="2">
        <f t="shared" si="7"/>
        <v>16</v>
      </c>
      <c r="K61" s="16">
        <f t="shared" si="5"/>
        <v>1.8549999999999944</v>
      </c>
      <c r="L61" s="17">
        <f t="shared" si="0"/>
        <v>3.4410249999999794</v>
      </c>
      <c r="N61" s="14">
        <v>57</v>
      </c>
      <c r="O61" s="20" t="str">
        <f t="shared" si="6"/>
        <v/>
      </c>
      <c r="P61" s="20" t="str">
        <f t="shared" si="10"/>
        <v/>
      </c>
      <c r="Q61" s="24" t="e">
        <f t="shared" si="2"/>
        <v>#VALUE!</v>
      </c>
      <c r="R61" s="14" t="str">
        <f t="shared" si="11"/>
        <v/>
      </c>
      <c r="T61" s="2">
        <f t="shared" si="12"/>
        <v>4</v>
      </c>
    </row>
    <row r="62" spans="6:20" x14ac:dyDescent="0.3">
      <c r="F62" s="16">
        <f t="shared" si="8"/>
        <v>4</v>
      </c>
      <c r="G62" s="17">
        <v>0</v>
      </c>
      <c r="I62" s="2"/>
      <c r="K62" s="16">
        <f t="shared" si="5"/>
        <v>1.8699999999999943</v>
      </c>
      <c r="L62" s="17">
        <f t="shared" si="0"/>
        <v>3.4968999999999788</v>
      </c>
      <c r="N62" s="14">
        <v>58</v>
      </c>
      <c r="O62" s="20" t="str">
        <f t="shared" si="6"/>
        <v/>
      </c>
      <c r="P62" s="20" t="str">
        <f t="shared" si="10"/>
        <v/>
      </c>
      <c r="Q62" s="24" t="e">
        <f t="shared" si="2"/>
        <v>#VALUE!</v>
      </c>
      <c r="R62" s="14" t="str">
        <f t="shared" si="11"/>
        <v/>
      </c>
      <c r="T62" s="2">
        <f t="shared" si="12"/>
        <v>4</v>
      </c>
    </row>
    <row r="63" spans="6:20" x14ac:dyDescent="0.3">
      <c r="F63" s="16">
        <f t="shared" si="8"/>
        <v>4</v>
      </c>
      <c r="G63" s="17">
        <f t="shared" si="9"/>
        <v>16</v>
      </c>
      <c r="I63" s="2">
        <f t="shared" si="7"/>
        <v>16</v>
      </c>
      <c r="K63" s="16">
        <f t="shared" si="5"/>
        <v>1.8849999999999942</v>
      </c>
      <c r="L63" s="17">
        <f t="shared" si="0"/>
        <v>3.5532249999999781</v>
      </c>
      <c r="N63" s="14">
        <v>59</v>
      </c>
      <c r="O63" s="20" t="str">
        <f t="shared" si="6"/>
        <v/>
      </c>
      <c r="P63" s="20" t="str">
        <f t="shared" si="10"/>
        <v/>
      </c>
      <c r="Q63" s="24" t="e">
        <f t="shared" si="2"/>
        <v>#VALUE!</v>
      </c>
      <c r="R63" s="14" t="str">
        <f t="shared" si="11"/>
        <v/>
      </c>
      <c r="T63" s="2">
        <f t="shared" si="12"/>
        <v>4</v>
      </c>
    </row>
    <row r="64" spans="6:20" x14ac:dyDescent="0.3">
      <c r="F64" s="16">
        <f t="shared" si="8"/>
        <v>4</v>
      </c>
      <c r="G64" s="17">
        <f t="shared" si="9"/>
        <v>16</v>
      </c>
      <c r="I64" s="2">
        <f t="shared" si="7"/>
        <v>16</v>
      </c>
      <c r="K64" s="16">
        <f t="shared" si="5"/>
        <v>1.8999999999999941</v>
      </c>
      <c r="L64" s="17">
        <f t="shared" si="0"/>
        <v>3.6099999999999777</v>
      </c>
      <c r="N64" s="14">
        <v>60</v>
      </c>
      <c r="O64" s="20" t="str">
        <f t="shared" si="6"/>
        <v/>
      </c>
      <c r="P64" s="20" t="str">
        <f t="shared" si="10"/>
        <v/>
      </c>
      <c r="Q64" s="24" t="e">
        <f t="shared" si="2"/>
        <v>#VALUE!</v>
      </c>
      <c r="R64" s="14" t="str">
        <f t="shared" si="11"/>
        <v/>
      </c>
      <c r="T64" s="2">
        <f t="shared" si="12"/>
        <v>4</v>
      </c>
    </row>
    <row r="65" spans="6:20" x14ac:dyDescent="0.3">
      <c r="F65" s="16">
        <f t="shared" si="8"/>
        <v>4</v>
      </c>
      <c r="G65" s="17">
        <v>0</v>
      </c>
      <c r="I65" s="2"/>
      <c r="K65" s="16">
        <f t="shared" si="5"/>
        <v>1.914999999999994</v>
      </c>
      <c r="L65" s="17">
        <f t="shared" si="0"/>
        <v>3.6672249999999771</v>
      </c>
      <c r="N65" s="14">
        <v>61</v>
      </c>
      <c r="O65" s="20" t="str">
        <f t="shared" si="6"/>
        <v/>
      </c>
      <c r="P65" s="20" t="str">
        <f t="shared" si="10"/>
        <v/>
      </c>
      <c r="Q65" s="24" t="e">
        <f t="shared" si="2"/>
        <v>#VALUE!</v>
      </c>
      <c r="R65" s="14" t="str">
        <f t="shared" si="11"/>
        <v/>
      </c>
      <c r="T65" s="2">
        <f t="shared" si="12"/>
        <v>4</v>
      </c>
    </row>
    <row r="66" spans="6:20" x14ac:dyDescent="0.3">
      <c r="F66" s="16">
        <f t="shared" si="8"/>
        <v>4</v>
      </c>
      <c r="G66" s="17">
        <f t="shared" si="9"/>
        <v>16</v>
      </c>
      <c r="I66" s="2">
        <f t="shared" si="7"/>
        <v>16</v>
      </c>
      <c r="K66" s="16">
        <f t="shared" si="5"/>
        <v>1.9299999999999939</v>
      </c>
      <c r="L66" s="17">
        <f t="shared" si="0"/>
        <v>3.7248999999999768</v>
      </c>
      <c r="N66" s="14">
        <v>62</v>
      </c>
      <c r="O66" s="20" t="str">
        <f t="shared" si="6"/>
        <v/>
      </c>
      <c r="P66" s="20" t="str">
        <f t="shared" si="10"/>
        <v/>
      </c>
      <c r="Q66" s="24" t="e">
        <f t="shared" si="2"/>
        <v>#VALUE!</v>
      </c>
      <c r="R66" s="14" t="str">
        <f t="shared" si="11"/>
        <v/>
      </c>
      <c r="T66" s="2">
        <f t="shared" si="12"/>
        <v>4</v>
      </c>
    </row>
    <row r="67" spans="6:20" x14ac:dyDescent="0.3">
      <c r="F67" s="16">
        <f t="shared" si="8"/>
        <v>4</v>
      </c>
      <c r="G67" s="17">
        <f t="shared" si="9"/>
        <v>16</v>
      </c>
      <c r="I67" s="2">
        <f t="shared" si="7"/>
        <v>16</v>
      </c>
      <c r="K67" s="16">
        <f t="shared" si="5"/>
        <v>1.9449999999999938</v>
      </c>
      <c r="L67" s="17">
        <f t="shared" si="0"/>
        <v>3.7830249999999759</v>
      </c>
      <c r="N67" s="14">
        <v>63</v>
      </c>
      <c r="O67" s="20" t="str">
        <f t="shared" si="6"/>
        <v/>
      </c>
      <c r="P67" s="20" t="str">
        <f t="shared" si="10"/>
        <v/>
      </c>
      <c r="Q67" s="24" t="e">
        <f t="shared" si="2"/>
        <v>#VALUE!</v>
      </c>
      <c r="R67" s="14" t="str">
        <f t="shared" si="11"/>
        <v/>
      </c>
      <c r="T67" s="2">
        <f t="shared" si="12"/>
        <v>4</v>
      </c>
    </row>
    <row r="68" spans="6:20" x14ac:dyDescent="0.3">
      <c r="F68" s="16">
        <f t="shared" si="8"/>
        <v>4</v>
      </c>
      <c r="G68" s="17">
        <v>0</v>
      </c>
      <c r="I68" s="2"/>
      <c r="K68" s="16">
        <f t="shared" si="5"/>
        <v>1.9599999999999937</v>
      </c>
      <c r="L68" s="17">
        <f t="shared" si="0"/>
        <v>3.8415999999999757</v>
      </c>
      <c r="N68" s="14">
        <v>64</v>
      </c>
      <c r="O68" s="20" t="str">
        <f t="shared" si="6"/>
        <v/>
      </c>
      <c r="P68" s="20" t="str">
        <f t="shared" si="10"/>
        <v/>
      </c>
      <c r="Q68" s="24" t="e">
        <f t="shared" si="2"/>
        <v>#VALUE!</v>
      </c>
      <c r="R68" s="14" t="str">
        <f t="shared" si="11"/>
        <v/>
      </c>
      <c r="T68" s="2">
        <f t="shared" si="12"/>
        <v>4</v>
      </c>
    </row>
    <row r="69" spans="6:20" x14ac:dyDescent="0.3">
      <c r="F69" s="16">
        <f t="shared" si="8"/>
        <v>4</v>
      </c>
      <c r="G69" s="17">
        <f t="shared" si="9"/>
        <v>16</v>
      </c>
      <c r="I69" s="2">
        <f t="shared" si="7"/>
        <v>16</v>
      </c>
      <c r="K69" s="16">
        <f t="shared" si="5"/>
        <v>1.9749999999999936</v>
      </c>
      <c r="L69" s="17">
        <f t="shared" ref="L69:L132" si="13">K69^2</f>
        <v>3.9006249999999749</v>
      </c>
      <c r="N69" s="14">
        <v>65</v>
      </c>
      <c r="O69" s="20" t="str">
        <f t="shared" si="6"/>
        <v/>
      </c>
      <c r="P69" s="20" t="str">
        <f t="shared" ref="P69:P100" si="14">IF(T69=T68,"",Q69)</f>
        <v/>
      </c>
      <c r="Q69" s="24" t="e">
        <f t="shared" ref="Q69:Q104" si="15">O69^2</f>
        <v>#VALUE!</v>
      </c>
      <c r="R69" s="14" t="str">
        <f t="shared" ref="R69:R104" si="16">IF(P69="","",(P69+P68)*(T69-T68)/2+R68)</f>
        <v/>
      </c>
      <c r="T69" s="2">
        <f t="shared" si="12"/>
        <v>4</v>
      </c>
    </row>
    <row r="70" spans="6:20" x14ac:dyDescent="0.3">
      <c r="F70" s="16">
        <f t="shared" si="8"/>
        <v>4</v>
      </c>
      <c r="G70" s="17">
        <f t="shared" si="9"/>
        <v>16</v>
      </c>
      <c r="I70" s="2">
        <f t="shared" si="7"/>
        <v>16</v>
      </c>
      <c r="K70" s="16">
        <f t="shared" ref="K70:K133" si="17">K69+($C$20-$C$19)/200</f>
        <v>1.9899999999999936</v>
      </c>
      <c r="L70" s="17">
        <f t="shared" si="13"/>
        <v>3.9600999999999744</v>
      </c>
      <c r="N70" s="14">
        <v>66</v>
      </c>
      <c r="O70" s="20" t="str">
        <f t="shared" ref="O70:O104" si="18">IF(T70=T69,"",T70)</f>
        <v/>
      </c>
      <c r="P70" s="20" t="str">
        <f t="shared" si="14"/>
        <v/>
      </c>
      <c r="Q70" s="24" t="e">
        <f t="shared" si="15"/>
        <v>#VALUE!</v>
      </c>
      <c r="R70" s="14" t="str">
        <f t="shared" si="16"/>
        <v/>
      </c>
      <c r="T70" s="2">
        <f t="shared" ref="T70:T104" si="19">IF(T69+$C$23&gt;$C$20,$C$20,T69+$C$23)</f>
        <v>4</v>
      </c>
    </row>
    <row r="71" spans="6:20" x14ac:dyDescent="0.3">
      <c r="F71" s="16">
        <f t="shared" si="8"/>
        <v>4</v>
      </c>
      <c r="G71" s="17">
        <v>0</v>
      </c>
      <c r="I71" s="2"/>
      <c r="K71" s="16">
        <f t="shared" si="17"/>
        <v>2.0049999999999937</v>
      </c>
      <c r="L71" s="17">
        <f t="shared" si="13"/>
        <v>4.0200249999999746</v>
      </c>
      <c r="N71" s="14">
        <v>67</v>
      </c>
      <c r="O71" s="20" t="str">
        <f t="shared" si="18"/>
        <v/>
      </c>
      <c r="P71" s="20" t="str">
        <f t="shared" si="14"/>
        <v/>
      </c>
      <c r="Q71" s="24" t="e">
        <f t="shared" si="15"/>
        <v>#VALUE!</v>
      </c>
      <c r="R71" s="14" t="str">
        <f t="shared" si="16"/>
        <v/>
      </c>
      <c r="T71" s="2">
        <f t="shared" si="19"/>
        <v>4</v>
      </c>
    </row>
    <row r="72" spans="6:20" x14ac:dyDescent="0.3">
      <c r="F72" s="16">
        <f t="shared" ref="F72:F135" si="20">IF(F69+$C$23&gt;$C$20,$C$20,F69+$C$23)</f>
        <v>4</v>
      </c>
      <c r="G72" s="17">
        <f t="shared" si="9"/>
        <v>16</v>
      </c>
      <c r="I72" s="2">
        <f t="shared" ref="I72:I133" si="21">F72^2</f>
        <v>16</v>
      </c>
      <c r="K72" s="16">
        <f t="shared" si="17"/>
        <v>2.0199999999999938</v>
      </c>
      <c r="L72" s="17">
        <f t="shared" si="13"/>
        <v>4.0803999999999752</v>
      </c>
      <c r="N72" s="14">
        <v>68</v>
      </c>
      <c r="O72" s="20" t="str">
        <f t="shared" si="18"/>
        <v/>
      </c>
      <c r="P72" s="20" t="str">
        <f t="shared" si="14"/>
        <v/>
      </c>
      <c r="Q72" s="24" t="e">
        <f t="shared" si="15"/>
        <v>#VALUE!</v>
      </c>
      <c r="R72" s="14" t="str">
        <f t="shared" si="16"/>
        <v/>
      </c>
      <c r="T72" s="2">
        <f t="shared" si="19"/>
        <v>4</v>
      </c>
    </row>
    <row r="73" spans="6:20" x14ac:dyDescent="0.3">
      <c r="F73" s="16">
        <f t="shared" si="20"/>
        <v>4</v>
      </c>
      <c r="G73" s="17">
        <f t="shared" si="9"/>
        <v>16</v>
      </c>
      <c r="I73" s="2">
        <f t="shared" si="21"/>
        <v>16</v>
      </c>
      <c r="K73" s="16">
        <f t="shared" si="17"/>
        <v>2.0349999999999939</v>
      </c>
      <c r="L73" s="17">
        <f t="shared" si="13"/>
        <v>4.1412249999999755</v>
      </c>
      <c r="N73" s="14">
        <v>69</v>
      </c>
      <c r="O73" s="20" t="str">
        <f t="shared" si="18"/>
        <v/>
      </c>
      <c r="P73" s="20" t="str">
        <f t="shared" si="14"/>
        <v/>
      </c>
      <c r="Q73" s="24" t="e">
        <f t="shared" si="15"/>
        <v>#VALUE!</v>
      </c>
      <c r="R73" s="14" t="str">
        <f t="shared" si="16"/>
        <v/>
      </c>
      <c r="T73" s="2">
        <f t="shared" si="19"/>
        <v>4</v>
      </c>
    </row>
    <row r="74" spans="6:20" x14ac:dyDescent="0.3">
      <c r="F74" s="16">
        <f t="shared" si="20"/>
        <v>4</v>
      </c>
      <c r="G74" s="17">
        <v>0</v>
      </c>
      <c r="I74" s="2"/>
      <c r="K74" s="16">
        <f t="shared" si="17"/>
        <v>2.049999999999994</v>
      </c>
      <c r="L74" s="17">
        <f t="shared" si="13"/>
        <v>4.2024999999999757</v>
      </c>
      <c r="N74" s="14">
        <v>70</v>
      </c>
      <c r="O74" s="20" t="str">
        <f t="shared" si="18"/>
        <v/>
      </c>
      <c r="P74" s="20" t="str">
        <f t="shared" si="14"/>
        <v/>
      </c>
      <c r="Q74" s="24" t="e">
        <f t="shared" si="15"/>
        <v>#VALUE!</v>
      </c>
      <c r="R74" s="14" t="str">
        <f t="shared" si="16"/>
        <v/>
      </c>
      <c r="T74" s="2">
        <f t="shared" si="19"/>
        <v>4</v>
      </c>
    </row>
    <row r="75" spans="6:20" x14ac:dyDescent="0.3">
      <c r="F75" s="16">
        <f t="shared" si="20"/>
        <v>4</v>
      </c>
      <c r="G75" s="17">
        <f t="shared" si="9"/>
        <v>16</v>
      </c>
      <c r="I75" s="2">
        <f t="shared" si="21"/>
        <v>16</v>
      </c>
      <c r="K75" s="16">
        <f t="shared" si="17"/>
        <v>2.0649999999999942</v>
      </c>
      <c r="L75" s="17">
        <f t="shared" si="13"/>
        <v>4.2642249999999757</v>
      </c>
      <c r="N75" s="14">
        <v>71</v>
      </c>
      <c r="O75" s="20" t="str">
        <f t="shared" si="18"/>
        <v/>
      </c>
      <c r="P75" s="20" t="str">
        <f t="shared" si="14"/>
        <v/>
      </c>
      <c r="Q75" s="24" t="e">
        <f t="shared" si="15"/>
        <v>#VALUE!</v>
      </c>
      <c r="R75" s="14" t="str">
        <f t="shared" si="16"/>
        <v/>
      </c>
      <c r="T75" s="2">
        <f t="shared" si="19"/>
        <v>4</v>
      </c>
    </row>
    <row r="76" spans="6:20" x14ac:dyDescent="0.3">
      <c r="F76" s="16">
        <f t="shared" si="20"/>
        <v>4</v>
      </c>
      <c r="G76" s="17">
        <f t="shared" si="9"/>
        <v>16</v>
      </c>
      <c r="I76" s="2">
        <f t="shared" si="21"/>
        <v>16</v>
      </c>
      <c r="K76" s="16">
        <f t="shared" si="17"/>
        <v>2.0799999999999943</v>
      </c>
      <c r="L76" s="17">
        <f t="shared" si="13"/>
        <v>4.3263999999999765</v>
      </c>
      <c r="N76" s="14">
        <v>72</v>
      </c>
      <c r="O76" s="20" t="str">
        <f t="shared" si="18"/>
        <v/>
      </c>
      <c r="P76" s="20" t="str">
        <f t="shared" si="14"/>
        <v/>
      </c>
      <c r="Q76" s="24" t="e">
        <f t="shared" si="15"/>
        <v>#VALUE!</v>
      </c>
      <c r="R76" s="14" t="str">
        <f t="shared" si="16"/>
        <v/>
      </c>
      <c r="T76" s="2">
        <f t="shared" si="19"/>
        <v>4</v>
      </c>
    </row>
    <row r="77" spans="6:20" x14ac:dyDescent="0.3">
      <c r="F77" s="16">
        <f t="shared" si="20"/>
        <v>4</v>
      </c>
      <c r="G77" s="17">
        <v>0</v>
      </c>
      <c r="I77" s="2"/>
      <c r="K77" s="16">
        <f t="shared" si="17"/>
        <v>2.0949999999999944</v>
      </c>
      <c r="L77" s="17">
        <f t="shared" si="13"/>
        <v>4.3890249999999762</v>
      </c>
      <c r="N77" s="14">
        <v>73</v>
      </c>
      <c r="O77" s="20" t="str">
        <f t="shared" si="18"/>
        <v/>
      </c>
      <c r="P77" s="20" t="str">
        <f t="shared" si="14"/>
        <v/>
      </c>
      <c r="Q77" s="24" t="e">
        <f t="shared" si="15"/>
        <v>#VALUE!</v>
      </c>
      <c r="R77" s="14" t="str">
        <f t="shared" si="16"/>
        <v/>
      </c>
      <c r="T77" s="2">
        <f t="shared" si="19"/>
        <v>4</v>
      </c>
    </row>
    <row r="78" spans="6:20" x14ac:dyDescent="0.3">
      <c r="F78" s="16">
        <f t="shared" si="20"/>
        <v>4</v>
      </c>
      <c r="G78" s="17">
        <f t="shared" si="9"/>
        <v>16</v>
      </c>
      <c r="I78" s="2">
        <f t="shared" si="21"/>
        <v>16</v>
      </c>
      <c r="K78" s="16">
        <f t="shared" si="17"/>
        <v>2.1099999999999945</v>
      </c>
      <c r="L78" s="17">
        <f t="shared" si="13"/>
        <v>4.4520999999999766</v>
      </c>
      <c r="N78" s="14">
        <v>74</v>
      </c>
      <c r="O78" s="20" t="str">
        <f t="shared" si="18"/>
        <v/>
      </c>
      <c r="P78" s="20" t="str">
        <f t="shared" si="14"/>
        <v/>
      </c>
      <c r="Q78" s="24" t="e">
        <f t="shared" si="15"/>
        <v>#VALUE!</v>
      </c>
      <c r="R78" s="14" t="str">
        <f t="shared" si="16"/>
        <v/>
      </c>
      <c r="T78" s="2">
        <f t="shared" si="19"/>
        <v>4</v>
      </c>
    </row>
    <row r="79" spans="6:20" x14ac:dyDescent="0.3">
      <c r="F79" s="16">
        <f t="shared" si="20"/>
        <v>4</v>
      </c>
      <c r="G79" s="17">
        <f t="shared" si="9"/>
        <v>16</v>
      </c>
      <c r="I79" s="2">
        <f t="shared" si="21"/>
        <v>16</v>
      </c>
      <c r="K79" s="16">
        <f t="shared" si="17"/>
        <v>2.1249999999999947</v>
      </c>
      <c r="L79" s="17">
        <f t="shared" si="13"/>
        <v>4.5156249999999769</v>
      </c>
      <c r="N79" s="14">
        <v>75</v>
      </c>
      <c r="O79" s="20" t="str">
        <f t="shared" si="18"/>
        <v/>
      </c>
      <c r="P79" s="20" t="str">
        <f t="shared" si="14"/>
        <v/>
      </c>
      <c r="Q79" s="24" t="e">
        <f t="shared" si="15"/>
        <v>#VALUE!</v>
      </c>
      <c r="R79" s="14" t="str">
        <f t="shared" si="16"/>
        <v/>
      </c>
      <c r="T79" s="2">
        <f t="shared" si="19"/>
        <v>4</v>
      </c>
    </row>
    <row r="80" spans="6:20" x14ac:dyDescent="0.3">
      <c r="F80" s="16">
        <f t="shared" si="20"/>
        <v>4</v>
      </c>
      <c r="G80" s="17">
        <v>0</v>
      </c>
      <c r="I80" s="2"/>
      <c r="K80" s="16">
        <f t="shared" si="17"/>
        <v>2.1399999999999948</v>
      </c>
      <c r="L80" s="17">
        <f t="shared" si="13"/>
        <v>4.5795999999999779</v>
      </c>
      <c r="N80" s="14">
        <v>76</v>
      </c>
      <c r="O80" s="20" t="str">
        <f t="shared" si="18"/>
        <v/>
      </c>
      <c r="P80" s="20" t="str">
        <f t="shared" si="14"/>
        <v/>
      </c>
      <c r="Q80" s="24" t="e">
        <f t="shared" si="15"/>
        <v>#VALUE!</v>
      </c>
      <c r="R80" s="14" t="str">
        <f t="shared" si="16"/>
        <v/>
      </c>
      <c r="T80" s="2">
        <f t="shared" si="19"/>
        <v>4</v>
      </c>
    </row>
    <row r="81" spans="6:20" x14ac:dyDescent="0.3">
      <c r="F81" s="16">
        <f t="shared" si="20"/>
        <v>4</v>
      </c>
      <c r="G81" s="17">
        <f t="shared" si="9"/>
        <v>16</v>
      </c>
      <c r="I81" s="2">
        <f t="shared" si="21"/>
        <v>16</v>
      </c>
      <c r="K81" s="16">
        <f t="shared" si="17"/>
        <v>2.1549999999999949</v>
      </c>
      <c r="L81" s="17">
        <f t="shared" si="13"/>
        <v>4.6440249999999779</v>
      </c>
      <c r="N81" s="14">
        <v>77</v>
      </c>
      <c r="O81" s="20" t="str">
        <f t="shared" si="18"/>
        <v/>
      </c>
      <c r="P81" s="20" t="str">
        <f t="shared" si="14"/>
        <v/>
      </c>
      <c r="Q81" s="24" t="e">
        <f t="shared" si="15"/>
        <v>#VALUE!</v>
      </c>
      <c r="R81" s="14" t="str">
        <f t="shared" si="16"/>
        <v/>
      </c>
      <c r="T81" s="2">
        <f t="shared" si="19"/>
        <v>4</v>
      </c>
    </row>
    <row r="82" spans="6:20" x14ac:dyDescent="0.3">
      <c r="F82" s="16">
        <f t="shared" si="20"/>
        <v>4</v>
      </c>
      <c r="G82" s="17">
        <f t="shared" si="9"/>
        <v>16</v>
      </c>
      <c r="I82" s="2">
        <f t="shared" si="21"/>
        <v>16</v>
      </c>
      <c r="K82" s="16">
        <f t="shared" si="17"/>
        <v>2.169999999999995</v>
      </c>
      <c r="L82" s="17">
        <f t="shared" si="13"/>
        <v>4.7088999999999785</v>
      </c>
      <c r="N82" s="14">
        <v>78</v>
      </c>
      <c r="O82" s="20" t="str">
        <f t="shared" si="18"/>
        <v/>
      </c>
      <c r="P82" s="20" t="str">
        <f t="shared" si="14"/>
        <v/>
      </c>
      <c r="Q82" s="24" t="e">
        <f t="shared" si="15"/>
        <v>#VALUE!</v>
      </c>
      <c r="R82" s="14" t="str">
        <f t="shared" si="16"/>
        <v/>
      </c>
      <c r="T82" s="2">
        <f t="shared" si="19"/>
        <v>4</v>
      </c>
    </row>
    <row r="83" spans="6:20" x14ac:dyDescent="0.3">
      <c r="F83" s="16">
        <f t="shared" si="20"/>
        <v>4</v>
      </c>
      <c r="G83" s="17">
        <v>0</v>
      </c>
      <c r="I83" s="2"/>
      <c r="K83" s="16">
        <f t="shared" si="17"/>
        <v>2.1849999999999952</v>
      </c>
      <c r="L83" s="17">
        <f t="shared" si="13"/>
        <v>4.7742249999999791</v>
      </c>
      <c r="N83" s="14">
        <v>79</v>
      </c>
      <c r="O83" s="20" t="str">
        <f t="shared" si="18"/>
        <v/>
      </c>
      <c r="P83" s="20" t="str">
        <f t="shared" si="14"/>
        <v/>
      </c>
      <c r="Q83" s="24" t="e">
        <f t="shared" si="15"/>
        <v>#VALUE!</v>
      </c>
      <c r="R83" s="14" t="str">
        <f t="shared" si="16"/>
        <v/>
      </c>
      <c r="T83" s="2">
        <f t="shared" si="19"/>
        <v>4</v>
      </c>
    </row>
    <row r="84" spans="6:20" x14ac:dyDescent="0.3">
      <c r="F84" s="16">
        <f t="shared" si="20"/>
        <v>4</v>
      </c>
      <c r="G84" s="17">
        <f t="shared" si="9"/>
        <v>16</v>
      </c>
      <c r="I84" s="2">
        <f t="shared" si="21"/>
        <v>16</v>
      </c>
      <c r="K84" s="16">
        <f t="shared" si="17"/>
        <v>2.1999999999999953</v>
      </c>
      <c r="L84" s="17">
        <f t="shared" si="13"/>
        <v>4.8399999999999794</v>
      </c>
      <c r="N84" s="14">
        <v>80</v>
      </c>
      <c r="O84" s="20" t="str">
        <f t="shared" si="18"/>
        <v/>
      </c>
      <c r="P84" s="20" t="str">
        <f t="shared" si="14"/>
        <v/>
      </c>
      <c r="Q84" s="24" t="e">
        <f t="shared" si="15"/>
        <v>#VALUE!</v>
      </c>
      <c r="R84" s="14" t="str">
        <f t="shared" si="16"/>
        <v/>
      </c>
      <c r="T84" s="2">
        <f t="shared" si="19"/>
        <v>4</v>
      </c>
    </row>
    <row r="85" spans="6:20" x14ac:dyDescent="0.3">
      <c r="F85" s="16">
        <f t="shared" si="20"/>
        <v>4</v>
      </c>
      <c r="G85" s="17">
        <f t="shared" si="9"/>
        <v>16</v>
      </c>
      <c r="I85" s="2">
        <f t="shared" si="21"/>
        <v>16</v>
      </c>
      <c r="K85" s="16">
        <f t="shared" si="17"/>
        <v>2.2149999999999954</v>
      </c>
      <c r="L85" s="17">
        <f t="shared" si="13"/>
        <v>4.9062249999999796</v>
      </c>
      <c r="N85" s="14">
        <v>81</v>
      </c>
      <c r="O85" s="20" t="str">
        <f t="shared" si="18"/>
        <v/>
      </c>
      <c r="P85" s="20" t="str">
        <f t="shared" si="14"/>
        <v/>
      </c>
      <c r="Q85" s="24" t="e">
        <f t="shared" si="15"/>
        <v>#VALUE!</v>
      </c>
      <c r="R85" s="14" t="str">
        <f t="shared" si="16"/>
        <v/>
      </c>
      <c r="T85" s="2">
        <f t="shared" si="19"/>
        <v>4</v>
      </c>
    </row>
    <row r="86" spans="6:20" x14ac:dyDescent="0.3">
      <c r="F86" s="16">
        <f t="shared" si="20"/>
        <v>4</v>
      </c>
      <c r="G86" s="17">
        <v>0</v>
      </c>
      <c r="I86" s="2"/>
      <c r="K86" s="16">
        <f t="shared" si="17"/>
        <v>2.2299999999999955</v>
      </c>
      <c r="L86" s="17">
        <f t="shared" si="13"/>
        <v>4.9728999999999806</v>
      </c>
      <c r="N86" s="14">
        <v>82</v>
      </c>
      <c r="O86" s="20" t="str">
        <f t="shared" si="18"/>
        <v/>
      </c>
      <c r="P86" s="20" t="str">
        <f t="shared" si="14"/>
        <v/>
      </c>
      <c r="Q86" s="24" t="e">
        <f t="shared" si="15"/>
        <v>#VALUE!</v>
      </c>
      <c r="R86" s="14" t="str">
        <f t="shared" si="16"/>
        <v/>
      </c>
      <c r="T86" s="2">
        <f t="shared" si="19"/>
        <v>4</v>
      </c>
    </row>
    <row r="87" spans="6:20" x14ac:dyDescent="0.3">
      <c r="F87" s="16">
        <f t="shared" si="20"/>
        <v>4</v>
      </c>
      <c r="G87" s="17">
        <f t="shared" ref="G87:G148" si="22">I87</f>
        <v>16</v>
      </c>
      <c r="I87" s="2">
        <f t="shared" si="21"/>
        <v>16</v>
      </c>
      <c r="K87" s="16">
        <f t="shared" si="17"/>
        <v>2.2449999999999957</v>
      </c>
      <c r="L87" s="17">
        <f t="shared" si="13"/>
        <v>5.0400249999999804</v>
      </c>
      <c r="N87" s="14">
        <v>83</v>
      </c>
      <c r="O87" s="20" t="str">
        <f t="shared" si="18"/>
        <v/>
      </c>
      <c r="P87" s="20" t="str">
        <f t="shared" si="14"/>
        <v/>
      </c>
      <c r="Q87" s="24" t="e">
        <f t="shared" si="15"/>
        <v>#VALUE!</v>
      </c>
      <c r="R87" s="14" t="str">
        <f t="shared" si="16"/>
        <v/>
      </c>
      <c r="T87" s="2">
        <f t="shared" si="19"/>
        <v>4</v>
      </c>
    </row>
    <row r="88" spans="6:20" x14ac:dyDescent="0.3">
      <c r="F88" s="16">
        <f t="shared" si="20"/>
        <v>4</v>
      </c>
      <c r="G88" s="17">
        <f t="shared" si="22"/>
        <v>16</v>
      </c>
      <c r="I88" s="2">
        <f t="shared" si="21"/>
        <v>16</v>
      </c>
      <c r="K88" s="16">
        <f t="shared" si="17"/>
        <v>2.2599999999999958</v>
      </c>
      <c r="L88" s="17">
        <f t="shared" si="13"/>
        <v>5.107599999999981</v>
      </c>
      <c r="N88" s="14">
        <v>84</v>
      </c>
      <c r="O88" s="20" t="str">
        <f t="shared" si="18"/>
        <v/>
      </c>
      <c r="P88" s="20" t="str">
        <f t="shared" si="14"/>
        <v/>
      </c>
      <c r="Q88" s="24" t="e">
        <f t="shared" si="15"/>
        <v>#VALUE!</v>
      </c>
      <c r="R88" s="14" t="str">
        <f t="shared" si="16"/>
        <v/>
      </c>
      <c r="T88" s="2">
        <f t="shared" si="19"/>
        <v>4</v>
      </c>
    </row>
    <row r="89" spans="6:20" x14ac:dyDescent="0.3">
      <c r="F89" s="16">
        <f t="shared" si="20"/>
        <v>4</v>
      </c>
      <c r="G89" s="17">
        <v>0</v>
      </c>
      <c r="I89" s="2"/>
      <c r="K89" s="16">
        <f t="shared" si="17"/>
        <v>2.2749999999999959</v>
      </c>
      <c r="L89" s="17">
        <f t="shared" si="13"/>
        <v>5.1756249999999815</v>
      </c>
      <c r="N89" s="14">
        <v>85</v>
      </c>
      <c r="O89" s="20" t="str">
        <f t="shared" si="18"/>
        <v/>
      </c>
      <c r="P89" s="20" t="str">
        <f t="shared" si="14"/>
        <v/>
      </c>
      <c r="Q89" s="24" t="e">
        <f t="shared" si="15"/>
        <v>#VALUE!</v>
      </c>
      <c r="R89" s="14" t="str">
        <f t="shared" si="16"/>
        <v/>
      </c>
      <c r="T89" s="2">
        <f t="shared" si="19"/>
        <v>4</v>
      </c>
    </row>
    <row r="90" spans="6:20" x14ac:dyDescent="0.3">
      <c r="F90" s="16">
        <f t="shared" si="20"/>
        <v>4</v>
      </c>
      <c r="G90" s="17">
        <f t="shared" si="22"/>
        <v>16</v>
      </c>
      <c r="I90" s="2">
        <f t="shared" si="21"/>
        <v>16</v>
      </c>
      <c r="K90" s="16">
        <f t="shared" si="17"/>
        <v>2.289999999999996</v>
      </c>
      <c r="L90" s="17">
        <f t="shared" si="13"/>
        <v>5.2440999999999818</v>
      </c>
      <c r="N90" s="14">
        <v>86</v>
      </c>
      <c r="O90" s="20" t="str">
        <f t="shared" si="18"/>
        <v/>
      </c>
      <c r="P90" s="20" t="str">
        <f t="shared" si="14"/>
        <v/>
      </c>
      <c r="Q90" s="24" t="e">
        <f t="shared" si="15"/>
        <v>#VALUE!</v>
      </c>
      <c r="R90" s="14" t="str">
        <f t="shared" si="16"/>
        <v/>
      </c>
      <c r="T90" s="2">
        <f t="shared" si="19"/>
        <v>4</v>
      </c>
    </row>
    <row r="91" spans="6:20" x14ac:dyDescent="0.3">
      <c r="F91" s="16">
        <f t="shared" si="20"/>
        <v>4</v>
      </c>
      <c r="G91" s="17">
        <f t="shared" si="22"/>
        <v>16</v>
      </c>
      <c r="I91" s="2">
        <f t="shared" si="21"/>
        <v>16</v>
      </c>
      <c r="K91" s="16">
        <f t="shared" si="17"/>
        <v>2.3049999999999962</v>
      </c>
      <c r="L91" s="17">
        <f t="shared" si="13"/>
        <v>5.3130249999999819</v>
      </c>
      <c r="N91" s="14">
        <v>87</v>
      </c>
      <c r="O91" s="20" t="str">
        <f t="shared" si="18"/>
        <v/>
      </c>
      <c r="P91" s="20" t="str">
        <f t="shared" si="14"/>
        <v/>
      </c>
      <c r="Q91" s="24" t="e">
        <f t="shared" si="15"/>
        <v>#VALUE!</v>
      </c>
      <c r="R91" s="14" t="str">
        <f t="shared" si="16"/>
        <v/>
      </c>
      <c r="T91" s="2">
        <f t="shared" si="19"/>
        <v>4</v>
      </c>
    </row>
    <row r="92" spans="6:20" x14ac:dyDescent="0.3">
      <c r="F92" s="16">
        <f t="shared" si="20"/>
        <v>4</v>
      </c>
      <c r="G92" s="17">
        <v>0</v>
      </c>
      <c r="I92" s="2"/>
      <c r="K92" s="16">
        <f t="shared" si="17"/>
        <v>2.3199999999999963</v>
      </c>
      <c r="L92" s="17">
        <f t="shared" si="13"/>
        <v>5.3823999999999828</v>
      </c>
      <c r="N92" s="14">
        <v>88</v>
      </c>
      <c r="O92" s="20" t="str">
        <f t="shared" si="18"/>
        <v/>
      </c>
      <c r="P92" s="20" t="str">
        <f t="shared" si="14"/>
        <v/>
      </c>
      <c r="Q92" s="24" t="e">
        <f t="shared" si="15"/>
        <v>#VALUE!</v>
      </c>
      <c r="R92" s="14" t="str">
        <f t="shared" si="16"/>
        <v/>
      </c>
      <c r="T92" s="2">
        <f t="shared" si="19"/>
        <v>4</v>
      </c>
    </row>
    <row r="93" spans="6:20" x14ac:dyDescent="0.3">
      <c r="F93" s="16">
        <f t="shared" si="20"/>
        <v>4</v>
      </c>
      <c r="G93" s="17">
        <f t="shared" si="22"/>
        <v>16</v>
      </c>
      <c r="I93" s="2">
        <f t="shared" si="21"/>
        <v>16</v>
      </c>
      <c r="K93" s="16">
        <f t="shared" si="17"/>
        <v>2.3349999999999964</v>
      </c>
      <c r="L93" s="17">
        <f t="shared" si="13"/>
        <v>5.4522249999999834</v>
      </c>
      <c r="N93" s="14">
        <v>89</v>
      </c>
      <c r="O93" s="20" t="str">
        <f t="shared" si="18"/>
        <v/>
      </c>
      <c r="P93" s="20" t="str">
        <f t="shared" si="14"/>
        <v/>
      </c>
      <c r="Q93" s="24" t="e">
        <f t="shared" si="15"/>
        <v>#VALUE!</v>
      </c>
      <c r="R93" s="14" t="str">
        <f t="shared" si="16"/>
        <v/>
      </c>
      <c r="T93" s="2">
        <f t="shared" si="19"/>
        <v>4</v>
      </c>
    </row>
    <row r="94" spans="6:20" x14ac:dyDescent="0.3">
      <c r="F94" s="16">
        <f t="shared" si="20"/>
        <v>4</v>
      </c>
      <c r="G94" s="17">
        <f t="shared" si="22"/>
        <v>16</v>
      </c>
      <c r="I94" s="2">
        <f t="shared" si="21"/>
        <v>16</v>
      </c>
      <c r="K94" s="16">
        <f t="shared" si="17"/>
        <v>2.3499999999999965</v>
      </c>
      <c r="L94" s="17">
        <f t="shared" si="13"/>
        <v>5.522499999999984</v>
      </c>
      <c r="N94" s="14">
        <v>90</v>
      </c>
      <c r="O94" s="20" t="str">
        <f t="shared" si="18"/>
        <v/>
      </c>
      <c r="P94" s="20" t="str">
        <f t="shared" si="14"/>
        <v/>
      </c>
      <c r="Q94" s="24" t="e">
        <f t="shared" si="15"/>
        <v>#VALUE!</v>
      </c>
      <c r="R94" s="14" t="str">
        <f t="shared" si="16"/>
        <v/>
      </c>
      <c r="T94" s="2">
        <f t="shared" si="19"/>
        <v>4</v>
      </c>
    </row>
    <row r="95" spans="6:20" x14ac:dyDescent="0.3">
      <c r="F95" s="16">
        <f t="shared" si="20"/>
        <v>4</v>
      </c>
      <c r="G95" s="17">
        <v>0</v>
      </c>
      <c r="I95" s="2"/>
      <c r="K95" s="16">
        <f t="shared" si="17"/>
        <v>2.3649999999999967</v>
      </c>
      <c r="L95" s="17">
        <f t="shared" si="13"/>
        <v>5.5932249999999843</v>
      </c>
      <c r="N95" s="14">
        <v>91</v>
      </c>
      <c r="O95" s="20" t="str">
        <f t="shared" si="18"/>
        <v/>
      </c>
      <c r="P95" s="20" t="str">
        <f t="shared" si="14"/>
        <v/>
      </c>
      <c r="Q95" s="24" t="e">
        <f t="shared" si="15"/>
        <v>#VALUE!</v>
      </c>
      <c r="R95" s="14" t="str">
        <f t="shared" si="16"/>
        <v/>
      </c>
      <c r="T95" s="2">
        <f t="shared" si="19"/>
        <v>4</v>
      </c>
    </row>
    <row r="96" spans="6:20" x14ac:dyDescent="0.3">
      <c r="F96" s="16">
        <f t="shared" si="20"/>
        <v>4</v>
      </c>
      <c r="G96" s="17">
        <f t="shared" si="22"/>
        <v>16</v>
      </c>
      <c r="I96" s="2">
        <f t="shared" si="21"/>
        <v>16</v>
      </c>
      <c r="K96" s="16">
        <f t="shared" si="17"/>
        <v>2.3799999999999968</v>
      </c>
      <c r="L96" s="17">
        <f t="shared" si="13"/>
        <v>5.6643999999999846</v>
      </c>
      <c r="N96" s="14">
        <v>92</v>
      </c>
      <c r="O96" s="20" t="str">
        <f t="shared" si="18"/>
        <v/>
      </c>
      <c r="P96" s="20" t="str">
        <f t="shared" si="14"/>
        <v/>
      </c>
      <c r="Q96" s="24" t="e">
        <f t="shared" si="15"/>
        <v>#VALUE!</v>
      </c>
      <c r="R96" s="14" t="str">
        <f t="shared" si="16"/>
        <v/>
      </c>
      <c r="T96" s="2">
        <f t="shared" si="19"/>
        <v>4</v>
      </c>
    </row>
    <row r="97" spans="6:20" x14ac:dyDescent="0.3">
      <c r="F97" s="16">
        <f t="shared" si="20"/>
        <v>4</v>
      </c>
      <c r="G97" s="17">
        <f t="shared" si="22"/>
        <v>16</v>
      </c>
      <c r="I97" s="2">
        <f t="shared" si="21"/>
        <v>16</v>
      </c>
      <c r="K97" s="16">
        <f t="shared" si="17"/>
        <v>2.3949999999999969</v>
      </c>
      <c r="L97" s="17">
        <f t="shared" si="13"/>
        <v>5.7360249999999855</v>
      </c>
      <c r="N97" s="14">
        <v>93</v>
      </c>
      <c r="O97" s="20" t="str">
        <f t="shared" si="18"/>
        <v/>
      </c>
      <c r="P97" s="20" t="str">
        <f t="shared" si="14"/>
        <v/>
      </c>
      <c r="Q97" s="24" t="e">
        <f t="shared" si="15"/>
        <v>#VALUE!</v>
      </c>
      <c r="R97" s="14" t="str">
        <f t="shared" si="16"/>
        <v/>
      </c>
      <c r="T97" s="2">
        <f t="shared" si="19"/>
        <v>4</v>
      </c>
    </row>
    <row r="98" spans="6:20" x14ac:dyDescent="0.3">
      <c r="F98" s="16">
        <f t="shared" si="20"/>
        <v>4</v>
      </c>
      <c r="G98" s="17">
        <v>0</v>
      </c>
      <c r="I98" s="2"/>
      <c r="K98" s="16">
        <f t="shared" si="17"/>
        <v>2.409999999999997</v>
      </c>
      <c r="L98" s="17">
        <f t="shared" si="13"/>
        <v>5.8080999999999854</v>
      </c>
      <c r="N98" s="14">
        <v>94</v>
      </c>
      <c r="O98" s="20" t="str">
        <f t="shared" si="18"/>
        <v/>
      </c>
      <c r="P98" s="20" t="str">
        <f t="shared" si="14"/>
        <v/>
      </c>
      <c r="Q98" s="24" t="e">
        <f t="shared" si="15"/>
        <v>#VALUE!</v>
      </c>
      <c r="R98" s="14" t="str">
        <f t="shared" si="16"/>
        <v/>
      </c>
      <c r="T98" s="2">
        <f t="shared" si="19"/>
        <v>4</v>
      </c>
    </row>
    <row r="99" spans="6:20" x14ac:dyDescent="0.3">
      <c r="F99" s="16">
        <f t="shared" si="20"/>
        <v>4</v>
      </c>
      <c r="G99" s="17">
        <f t="shared" si="22"/>
        <v>16</v>
      </c>
      <c r="I99" s="2">
        <f t="shared" si="21"/>
        <v>16</v>
      </c>
      <c r="K99" s="16">
        <f t="shared" si="17"/>
        <v>2.4249999999999972</v>
      </c>
      <c r="L99" s="17">
        <f t="shared" si="13"/>
        <v>5.880624999999986</v>
      </c>
      <c r="N99" s="14">
        <v>95</v>
      </c>
      <c r="O99" s="20" t="str">
        <f t="shared" si="18"/>
        <v/>
      </c>
      <c r="P99" s="20" t="str">
        <f t="shared" si="14"/>
        <v/>
      </c>
      <c r="Q99" s="24" t="e">
        <f t="shared" si="15"/>
        <v>#VALUE!</v>
      </c>
      <c r="R99" s="14" t="str">
        <f t="shared" si="16"/>
        <v/>
      </c>
      <c r="T99" s="2">
        <f t="shared" si="19"/>
        <v>4</v>
      </c>
    </row>
    <row r="100" spans="6:20" x14ac:dyDescent="0.3">
      <c r="F100" s="16">
        <f t="shared" si="20"/>
        <v>4</v>
      </c>
      <c r="G100" s="17">
        <f t="shared" si="22"/>
        <v>16</v>
      </c>
      <c r="I100" s="2">
        <f t="shared" si="21"/>
        <v>16</v>
      </c>
      <c r="K100" s="16">
        <f t="shared" si="17"/>
        <v>2.4399999999999973</v>
      </c>
      <c r="L100" s="17">
        <f t="shared" si="13"/>
        <v>5.9535999999999865</v>
      </c>
      <c r="N100" s="14">
        <v>96</v>
      </c>
      <c r="O100" s="20" t="str">
        <f t="shared" si="18"/>
        <v/>
      </c>
      <c r="P100" s="20" t="str">
        <f t="shared" si="14"/>
        <v/>
      </c>
      <c r="Q100" s="24" t="e">
        <f t="shared" si="15"/>
        <v>#VALUE!</v>
      </c>
      <c r="R100" s="14" t="str">
        <f t="shared" si="16"/>
        <v/>
      </c>
      <c r="T100" s="2">
        <f t="shared" si="19"/>
        <v>4</v>
      </c>
    </row>
    <row r="101" spans="6:20" x14ac:dyDescent="0.3">
      <c r="F101" s="16">
        <f t="shared" si="20"/>
        <v>4</v>
      </c>
      <c r="G101" s="17">
        <v>0</v>
      </c>
      <c r="I101" s="2"/>
      <c r="K101" s="16">
        <f t="shared" si="17"/>
        <v>2.4549999999999974</v>
      </c>
      <c r="L101" s="17">
        <f t="shared" si="13"/>
        <v>6.0270249999999876</v>
      </c>
      <c r="N101" s="14">
        <v>97</v>
      </c>
      <c r="O101" s="20" t="str">
        <f t="shared" si="18"/>
        <v/>
      </c>
      <c r="P101" s="20" t="str">
        <f t="shared" ref="P101:P104" si="23">IF(T101=T100,"",Q101)</f>
        <v/>
      </c>
      <c r="Q101" s="24" t="e">
        <f t="shared" si="15"/>
        <v>#VALUE!</v>
      </c>
      <c r="R101" s="14" t="str">
        <f t="shared" si="16"/>
        <v/>
      </c>
      <c r="T101" s="2">
        <f t="shared" si="19"/>
        <v>4</v>
      </c>
    </row>
    <row r="102" spans="6:20" x14ac:dyDescent="0.3">
      <c r="F102" s="16">
        <f t="shared" si="20"/>
        <v>4</v>
      </c>
      <c r="G102" s="17">
        <f t="shared" si="22"/>
        <v>16</v>
      </c>
      <c r="I102" s="2">
        <f t="shared" si="21"/>
        <v>16</v>
      </c>
      <c r="K102" s="16">
        <f t="shared" si="17"/>
        <v>2.4699999999999975</v>
      </c>
      <c r="L102" s="17">
        <f t="shared" si="13"/>
        <v>6.1008999999999878</v>
      </c>
      <c r="N102" s="14">
        <v>98</v>
      </c>
      <c r="O102" s="20" t="str">
        <f t="shared" si="18"/>
        <v/>
      </c>
      <c r="P102" s="20" t="str">
        <f t="shared" si="23"/>
        <v/>
      </c>
      <c r="Q102" s="24" t="e">
        <f t="shared" si="15"/>
        <v>#VALUE!</v>
      </c>
      <c r="R102" s="14" t="str">
        <f t="shared" si="16"/>
        <v/>
      </c>
      <c r="T102" s="2">
        <f t="shared" si="19"/>
        <v>4</v>
      </c>
    </row>
    <row r="103" spans="6:20" x14ac:dyDescent="0.3">
      <c r="F103" s="16">
        <f t="shared" si="20"/>
        <v>4</v>
      </c>
      <c r="G103" s="17">
        <f t="shared" si="22"/>
        <v>16</v>
      </c>
      <c r="I103" s="2">
        <f t="shared" si="21"/>
        <v>16</v>
      </c>
      <c r="K103" s="16">
        <f t="shared" si="17"/>
        <v>2.4849999999999977</v>
      </c>
      <c r="L103" s="17">
        <f t="shared" si="13"/>
        <v>6.1752249999999886</v>
      </c>
      <c r="N103" s="14">
        <v>99</v>
      </c>
      <c r="O103" s="20" t="str">
        <f t="shared" si="18"/>
        <v/>
      </c>
      <c r="P103" s="20" t="str">
        <f t="shared" si="23"/>
        <v/>
      </c>
      <c r="Q103" s="24" t="e">
        <f t="shared" si="15"/>
        <v>#VALUE!</v>
      </c>
      <c r="R103" s="14" t="str">
        <f t="shared" si="16"/>
        <v/>
      </c>
      <c r="T103" s="2">
        <f t="shared" si="19"/>
        <v>4</v>
      </c>
    </row>
    <row r="104" spans="6:20" x14ac:dyDescent="0.3">
      <c r="F104" s="16">
        <f t="shared" si="20"/>
        <v>4</v>
      </c>
      <c r="G104" s="17">
        <v>0</v>
      </c>
      <c r="I104" s="2"/>
      <c r="K104" s="16">
        <f t="shared" si="17"/>
        <v>2.4999999999999978</v>
      </c>
      <c r="L104" s="17">
        <f t="shared" si="13"/>
        <v>6.2499999999999893</v>
      </c>
      <c r="N104" s="15">
        <v>100</v>
      </c>
      <c r="O104" s="21" t="str">
        <f t="shared" si="18"/>
        <v/>
      </c>
      <c r="P104" s="21" t="str">
        <f t="shared" si="23"/>
        <v/>
      </c>
      <c r="Q104" s="24" t="e">
        <f t="shared" si="15"/>
        <v>#VALUE!</v>
      </c>
      <c r="R104" s="15" t="str">
        <f t="shared" si="16"/>
        <v/>
      </c>
      <c r="T104" s="2">
        <f t="shared" si="19"/>
        <v>4</v>
      </c>
    </row>
    <row r="105" spans="6:20" x14ac:dyDescent="0.3">
      <c r="F105" s="16">
        <f t="shared" si="20"/>
        <v>4</v>
      </c>
      <c r="G105" s="17">
        <f t="shared" si="22"/>
        <v>16</v>
      </c>
      <c r="I105" s="2">
        <f t="shared" si="21"/>
        <v>16</v>
      </c>
      <c r="K105" s="16">
        <f t="shared" si="17"/>
        <v>2.5149999999999979</v>
      </c>
      <c r="L105" s="17">
        <f t="shared" si="13"/>
        <v>6.3252249999999899</v>
      </c>
    </row>
    <row r="106" spans="6:20" x14ac:dyDescent="0.3">
      <c r="F106" s="16">
        <f t="shared" si="20"/>
        <v>4</v>
      </c>
      <c r="G106" s="17">
        <f t="shared" si="22"/>
        <v>16</v>
      </c>
      <c r="I106" s="2">
        <f t="shared" si="21"/>
        <v>16</v>
      </c>
      <c r="K106" s="16">
        <f t="shared" si="17"/>
        <v>2.529999999999998</v>
      </c>
      <c r="L106" s="17">
        <f t="shared" si="13"/>
        <v>6.4008999999999903</v>
      </c>
    </row>
    <row r="107" spans="6:20" x14ac:dyDescent="0.3">
      <c r="F107" s="16">
        <f t="shared" si="20"/>
        <v>4</v>
      </c>
      <c r="G107" s="17">
        <v>0</v>
      </c>
      <c r="I107" s="2"/>
      <c r="K107" s="16">
        <f t="shared" si="17"/>
        <v>2.5449999999999982</v>
      </c>
      <c r="L107" s="17">
        <f t="shared" si="13"/>
        <v>6.4770249999999905</v>
      </c>
    </row>
    <row r="108" spans="6:20" x14ac:dyDescent="0.3">
      <c r="F108" s="16">
        <f t="shared" si="20"/>
        <v>4</v>
      </c>
      <c r="G108" s="17">
        <f t="shared" si="22"/>
        <v>16</v>
      </c>
      <c r="I108" s="2">
        <f t="shared" si="21"/>
        <v>16</v>
      </c>
      <c r="K108" s="16">
        <f t="shared" si="17"/>
        <v>2.5599999999999983</v>
      </c>
      <c r="L108" s="17">
        <f t="shared" si="13"/>
        <v>6.5535999999999914</v>
      </c>
    </row>
    <row r="109" spans="6:20" x14ac:dyDescent="0.3">
      <c r="F109" s="16">
        <f t="shared" si="20"/>
        <v>4</v>
      </c>
      <c r="G109" s="17">
        <f t="shared" si="22"/>
        <v>16</v>
      </c>
      <c r="I109" s="2">
        <f t="shared" si="21"/>
        <v>16</v>
      </c>
      <c r="K109" s="16">
        <f t="shared" si="17"/>
        <v>2.5749999999999984</v>
      </c>
      <c r="L109" s="17">
        <f t="shared" si="13"/>
        <v>6.6306249999999913</v>
      </c>
    </row>
    <row r="110" spans="6:20" x14ac:dyDescent="0.3">
      <c r="F110" s="16">
        <f t="shared" si="20"/>
        <v>4</v>
      </c>
      <c r="G110" s="17">
        <v>0</v>
      </c>
      <c r="I110" s="2"/>
      <c r="K110" s="16">
        <f t="shared" si="17"/>
        <v>2.5899999999999985</v>
      </c>
      <c r="L110" s="17">
        <f t="shared" si="13"/>
        <v>6.708099999999992</v>
      </c>
    </row>
    <row r="111" spans="6:20" x14ac:dyDescent="0.3">
      <c r="F111" s="16">
        <f t="shared" si="20"/>
        <v>4</v>
      </c>
      <c r="G111" s="17">
        <f t="shared" si="22"/>
        <v>16</v>
      </c>
      <c r="I111" s="2">
        <f t="shared" si="21"/>
        <v>16</v>
      </c>
      <c r="K111" s="16">
        <f t="shared" si="17"/>
        <v>2.6049999999999986</v>
      </c>
      <c r="L111" s="17">
        <f t="shared" si="13"/>
        <v>6.7860249999999933</v>
      </c>
    </row>
    <row r="112" spans="6:20" x14ac:dyDescent="0.3">
      <c r="F112" s="16">
        <f t="shared" si="20"/>
        <v>4</v>
      </c>
      <c r="G112" s="17">
        <f t="shared" si="22"/>
        <v>16</v>
      </c>
      <c r="I112" s="2">
        <f t="shared" si="21"/>
        <v>16</v>
      </c>
      <c r="K112" s="16">
        <f t="shared" si="17"/>
        <v>2.6199999999999988</v>
      </c>
      <c r="L112" s="17">
        <f t="shared" si="13"/>
        <v>6.8643999999999936</v>
      </c>
    </row>
    <row r="113" spans="6:12" x14ac:dyDescent="0.3">
      <c r="F113" s="16">
        <f t="shared" si="20"/>
        <v>4</v>
      </c>
      <c r="G113" s="17">
        <v>0</v>
      </c>
      <c r="I113" s="2"/>
      <c r="K113" s="16">
        <f t="shared" si="17"/>
        <v>2.6349999999999989</v>
      </c>
      <c r="L113" s="17">
        <f t="shared" si="13"/>
        <v>6.9432249999999938</v>
      </c>
    </row>
    <row r="114" spans="6:12" x14ac:dyDescent="0.3">
      <c r="F114" s="16">
        <f t="shared" si="20"/>
        <v>4</v>
      </c>
      <c r="G114" s="17">
        <f t="shared" si="22"/>
        <v>16</v>
      </c>
      <c r="I114" s="2">
        <f t="shared" si="21"/>
        <v>16</v>
      </c>
      <c r="K114" s="16">
        <f t="shared" si="17"/>
        <v>2.649999999999999</v>
      </c>
      <c r="L114" s="17">
        <f t="shared" si="13"/>
        <v>7.0224999999999946</v>
      </c>
    </row>
    <row r="115" spans="6:12" x14ac:dyDescent="0.3">
      <c r="F115" s="16">
        <f t="shared" si="20"/>
        <v>4</v>
      </c>
      <c r="G115" s="17">
        <f t="shared" si="22"/>
        <v>16</v>
      </c>
      <c r="I115" s="2">
        <f t="shared" si="21"/>
        <v>16</v>
      </c>
      <c r="K115" s="16">
        <f t="shared" si="17"/>
        <v>2.6649999999999991</v>
      </c>
      <c r="L115" s="17">
        <f t="shared" si="13"/>
        <v>7.1022249999999953</v>
      </c>
    </row>
    <row r="116" spans="6:12" x14ac:dyDescent="0.3">
      <c r="F116" s="16">
        <f t="shared" si="20"/>
        <v>4</v>
      </c>
      <c r="G116" s="17">
        <v>0</v>
      </c>
      <c r="I116" s="2"/>
      <c r="K116" s="16">
        <f t="shared" si="17"/>
        <v>2.6799999999999993</v>
      </c>
      <c r="L116" s="17">
        <f t="shared" si="13"/>
        <v>7.1823999999999959</v>
      </c>
    </row>
    <row r="117" spans="6:12" x14ac:dyDescent="0.3">
      <c r="F117" s="16">
        <f t="shared" si="20"/>
        <v>4</v>
      </c>
      <c r="G117" s="17">
        <f t="shared" si="22"/>
        <v>16</v>
      </c>
      <c r="I117" s="2">
        <f t="shared" si="21"/>
        <v>16</v>
      </c>
      <c r="K117" s="16">
        <f t="shared" si="17"/>
        <v>2.6949999999999994</v>
      </c>
      <c r="L117" s="17">
        <f t="shared" si="13"/>
        <v>7.2630249999999972</v>
      </c>
    </row>
    <row r="118" spans="6:12" x14ac:dyDescent="0.3">
      <c r="F118" s="16">
        <f t="shared" si="20"/>
        <v>4</v>
      </c>
      <c r="G118" s="17">
        <f t="shared" si="22"/>
        <v>16</v>
      </c>
      <c r="I118" s="2">
        <f t="shared" si="21"/>
        <v>16</v>
      </c>
      <c r="K118" s="16">
        <f t="shared" si="17"/>
        <v>2.7099999999999995</v>
      </c>
      <c r="L118" s="17">
        <f t="shared" si="13"/>
        <v>7.3440999999999974</v>
      </c>
    </row>
    <row r="119" spans="6:12" x14ac:dyDescent="0.3">
      <c r="F119" s="16">
        <f t="shared" si="20"/>
        <v>4</v>
      </c>
      <c r="G119" s="17">
        <v>0</v>
      </c>
      <c r="I119" s="2"/>
      <c r="K119" s="16">
        <f t="shared" si="17"/>
        <v>2.7249999999999996</v>
      </c>
      <c r="L119" s="17">
        <f t="shared" si="13"/>
        <v>7.4256249999999984</v>
      </c>
    </row>
    <row r="120" spans="6:12" x14ac:dyDescent="0.3">
      <c r="F120" s="16">
        <f t="shared" si="20"/>
        <v>4</v>
      </c>
      <c r="G120" s="17">
        <f t="shared" si="22"/>
        <v>16</v>
      </c>
      <c r="I120" s="2">
        <f t="shared" si="21"/>
        <v>16</v>
      </c>
      <c r="K120" s="16">
        <f t="shared" si="17"/>
        <v>2.7399999999999998</v>
      </c>
      <c r="L120" s="17">
        <f t="shared" si="13"/>
        <v>7.5075999999999992</v>
      </c>
    </row>
    <row r="121" spans="6:12" x14ac:dyDescent="0.3">
      <c r="F121" s="16">
        <f t="shared" si="20"/>
        <v>4</v>
      </c>
      <c r="G121" s="17">
        <f t="shared" si="22"/>
        <v>16</v>
      </c>
      <c r="I121" s="2">
        <f t="shared" si="21"/>
        <v>16</v>
      </c>
      <c r="K121" s="16">
        <f t="shared" si="17"/>
        <v>2.7549999999999999</v>
      </c>
      <c r="L121" s="17">
        <f t="shared" si="13"/>
        <v>7.5900249999999998</v>
      </c>
    </row>
    <row r="122" spans="6:12" x14ac:dyDescent="0.3">
      <c r="F122" s="16">
        <f t="shared" si="20"/>
        <v>4</v>
      </c>
      <c r="G122" s="17">
        <v>0</v>
      </c>
      <c r="I122" s="2"/>
      <c r="K122" s="16">
        <f t="shared" si="17"/>
        <v>2.77</v>
      </c>
      <c r="L122" s="17">
        <f t="shared" si="13"/>
        <v>7.6729000000000003</v>
      </c>
    </row>
    <row r="123" spans="6:12" x14ac:dyDescent="0.3">
      <c r="F123" s="16">
        <f t="shared" si="20"/>
        <v>4</v>
      </c>
      <c r="G123" s="17">
        <f t="shared" si="22"/>
        <v>16</v>
      </c>
      <c r="I123" s="2">
        <f t="shared" si="21"/>
        <v>16</v>
      </c>
      <c r="K123" s="16">
        <f t="shared" si="17"/>
        <v>2.7850000000000001</v>
      </c>
      <c r="L123" s="17">
        <f t="shared" si="13"/>
        <v>7.7562250000000006</v>
      </c>
    </row>
    <row r="124" spans="6:12" x14ac:dyDescent="0.3">
      <c r="F124" s="16">
        <f t="shared" si="20"/>
        <v>4</v>
      </c>
      <c r="G124" s="17">
        <f t="shared" si="22"/>
        <v>16</v>
      </c>
      <c r="I124" s="2">
        <f t="shared" si="21"/>
        <v>16</v>
      </c>
      <c r="K124" s="16">
        <f t="shared" si="17"/>
        <v>2.8000000000000003</v>
      </c>
      <c r="L124" s="17">
        <f t="shared" si="13"/>
        <v>7.8400000000000016</v>
      </c>
    </row>
    <row r="125" spans="6:12" x14ac:dyDescent="0.3">
      <c r="F125" s="16">
        <f t="shared" si="20"/>
        <v>4</v>
      </c>
      <c r="G125" s="17">
        <v>0</v>
      </c>
      <c r="I125" s="2"/>
      <c r="K125" s="16">
        <f t="shared" si="17"/>
        <v>2.8150000000000004</v>
      </c>
      <c r="L125" s="17">
        <f t="shared" si="13"/>
        <v>7.9242250000000025</v>
      </c>
    </row>
    <row r="126" spans="6:12" x14ac:dyDescent="0.3">
      <c r="F126" s="16">
        <f t="shared" si="20"/>
        <v>4</v>
      </c>
      <c r="G126" s="17">
        <f t="shared" si="22"/>
        <v>16</v>
      </c>
      <c r="I126" s="2">
        <f t="shared" si="21"/>
        <v>16</v>
      </c>
      <c r="K126" s="16">
        <f t="shared" si="17"/>
        <v>2.8300000000000005</v>
      </c>
      <c r="L126" s="17">
        <f t="shared" si="13"/>
        <v>8.0089000000000024</v>
      </c>
    </row>
    <row r="127" spans="6:12" x14ac:dyDescent="0.3">
      <c r="F127" s="16">
        <f t="shared" si="20"/>
        <v>4</v>
      </c>
      <c r="G127" s="17">
        <f t="shared" si="22"/>
        <v>16</v>
      </c>
      <c r="I127" s="2">
        <f t="shared" si="21"/>
        <v>16</v>
      </c>
      <c r="K127" s="16">
        <f t="shared" si="17"/>
        <v>2.8450000000000006</v>
      </c>
      <c r="L127" s="17">
        <f t="shared" si="13"/>
        <v>8.0940250000000038</v>
      </c>
    </row>
    <row r="128" spans="6:12" x14ac:dyDescent="0.3">
      <c r="F128" s="16">
        <f t="shared" si="20"/>
        <v>4</v>
      </c>
      <c r="G128" s="17">
        <v>0</v>
      </c>
      <c r="I128" s="2"/>
      <c r="K128" s="16">
        <f t="shared" si="17"/>
        <v>2.8600000000000008</v>
      </c>
      <c r="L128" s="17">
        <f t="shared" si="13"/>
        <v>8.1796000000000042</v>
      </c>
    </row>
    <row r="129" spans="6:12" x14ac:dyDescent="0.3">
      <c r="F129" s="16">
        <f t="shared" si="20"/>
        <v>4</v>
      </c>
      <c r="G129" s="17">
        <f t="shared" si="22"/>
        <v>16</v>
      </c>
      <c r="I129" s="2">
        <f t="shared" si="21"/>
        <v>16</v>
      </c>
      <c r="K129" s="16">
        <f t="shared" si="17"/>
        <v>2.8750000000000009</v>
      </c>
      <c r="L129" s="17">
        <f t="shared" si="13"/>
        <v>8.2656250000000053</v>
      </c>
    </row>
    <row r="130" spans="6:12" x14ac:dyDescent="0.3">
      <c r="F130" s="16">
        <f t="shared" si="20"/>
        <v>4</v>
      </c>
      <c r="G130" s="17">
        <f t="shared" si="22"/>
        <v>16</v>
      </c>
      <c r="I130" s="2">
        <f t="shared" si="21"/>
        <v>16</v>
      </c>
      <c r="K130" s="16">
        <f t="shared" si="17"/>
        <v>2.890000000000001</v>
      </c>
      <c r="L130" s="17">
        <f t="shared" si="13"/>
        <v>8.3521000000000054</v>
      </c>
    </row>
    <row r="131" spans="6:12" x14ac:dyDescent="0.3">
      <c r="F131" s="16">
        <f t="shared" si="20"/>
        <v>4</v>
      </c>
      <c r="G131" s="17">
        <v>0</v>
      </c>
      <c r="I131" s="2"/>
      <c r="K131" s="16">
        <f t="shared" si="17"/>
        <v>2.9050000000000011</v>
      </c>
      <c r="L131" s="17">
        <f t="shared" si="13"/>
        <v>8.4390250000000062</v>
      </c>
    </row>
    <row r="132" spans="6:12" x14ac:dyDescent="0.3">
      <c r="F132" s="16">
        <f t="shared" si="20"/>
        <v>4</v>
      </c>
      <c r="G132" s="17">
        <f t="shared" si="22"/>
        <v>16</v>
      </c>
      <c r="I132" s="2">
        <f t="shared" si="21"/>
        <v>16</v>
      </c>
      <c r="K132" s="16">
        <f t="shared" si="17"/>
        <v>2.9200000000000013</v>
      </c>
      <c r="L132" s="17">
        <f t="shared" si="13"/>
        <v>8.5264000000000078</v>
      </c>
    </row>
    <row r="133" spans="6:12" x14ac:dyDescent="0.3">
      <c r="F133" s="16">
        <f t="shared" si="20"/>
        <v>4</v>
      </c>
      <c r="G133" s="17">
        <f t="shared" si="22"/>
        <v>16</v>
      </c>
      <c r="I133" s="2">
        <f t="shared" si="21"/>
        <v>16</v>
      </c>
      <c r="K133" s="16">
        <f t="shared" si="17"/>
        <v>2.9350000000000014</v>
      </c>
      <c r="L133" s="17">
        <f t="shared" ref="L133:L196" si="24">K133^2</f>
        <v>8.6142250000000082</v>
      </c>
    </row>
    <row r="134" spans="6:12" x14ac:dyDescent="0.3">
      <c r="F134" s="16">
        <f t="shared" si="20"/>
        <v>4</v>
      </c>
      <c r="G134" s="17">
        <v>0</v>
      </c>
      <c r="I134" s="2"/>
      <c r="K134" s="16">
        <f t="shared" ref="K134:K197" si="25">K133+($C$20-$C$19)/200</f>
        <v>2.9500000000000015</v>
      </c>
      <c r="L134" s="17">
        <f t="shared" si="24"/>
        <v>8.7025000000000095</v>
      </c>
    </row>
    <row r="135" spans="6:12" x14ac:dyDescent="0.3">
      <c r="F135" s="16">
        <f t="shared" si="20"/>
        <v>4</v>
      </c>
      <c r="G135" s="17">
        <f t="shared" si="22"/>
        <v>16</v>
      </c>
      <c r="I135" s="2">
        <f t="shared" ref="I135:I198" si="26">F135^2</f>
        <v>16</v>
      </c>
      <c r="K135" s="16">
        <f t="shared" si="25"/>
        <v>2.9650000000000016</v>
      </c>
      <c r="L135" s="17">
        <f t="shared" si="24"/>
        <v>8.7912250000000096</v>
      </c>
    </row>
    <row r="136" spans="6:12" x14ac:dyDescent="0.3">
      <c r="F136" s="16">
        <f t="shared" ref="F136:F199" si="27">IF(F133+$C$23&gt;$C$20,$C$20,F133+$C$23)</f>
        <v>4</v>
      </c>
      <c r="G136" s="17">
        <f t="shared" si="22"/>
        <v>16</v>
      </c>
      <c r="I136" s="2">
        <f t="shared" si="26"/>
        <v>16</v>
      </c>
      <c r="K136" s="16">
        <f t="shared" si="25"/>
        <v>2.9800000000000018</v>
      </c>
      <c r="L136" s="17">
        <f t="shared" si="24"/>
        <v>8.8804000000000105</v>
      </c>
    </row>
    <row r="137" spans="6:12" x14ac:dyDescent="0.3">
      <c r="F137" s="16">
        <f t="shared" si="27"/>
        <v>4</v>
      </c>
      <c r="G137" s="17">
        <v>0</v>
      </c>
      <c r="I137" s="2"/>
      <c r="K137" s="16">
        <f t="shared" si="25"/>
        <v>2.9950000000000019</v>
      </c>
      <c r="L137" s="17">
        <f t="shared" si="24"/>
        <v>8.9700250000000121</v>
      </c>
    </row>
    <row r="138" spans="6:12" x14ac:dyDescent="0.3">
      <c r="F138" s="16">
        <f t="shared" si="27"/>
        <v>4</v>
      </c>
      <c r="G138" s="17">
        <f t="shared" si="22"/>
        <v>16</v>
      </c>
      <c r="I138" s="2">
        <f t="shared" si="26"/>
        <v>16</v>
      </c>
      <c r="K138" s="16">
        <f t="shared" si="25"/>
        <v>3.010000000000002</v>
      </c>
      <c r="L138" s="17">
        <f t="shared" si="24"/>
        <v>9.0601000000000127</v>
      </c>
    </row>
    <row r="139" spans="6:12" x14ac:dyDescent="0.3">
      <c r="F139" s="16">
        <f t="shared" si="27"/>
        <v>4</v>
      </c>
      <c r="G139" s="17">
        <f t="shared" si="22"/>
        <v>16</v>
      </c>
      <c r="I139" s="2">
        <f t="shared" si="26"/>
        <v>16</v>
      </c>
      <c r="K139" s="16">
        <f t="shared" si="25"/>
        <v>3.0250000000000021</v>
      </c>
      <c r="L139" s="17">
        <f t="shared" si="24"/>
        <v>9.1506250000000122</v>
      </c>
    </row>
    <row r="140" spans="6:12" x14ac:dyDescent="0.3">
      <c r="F140" s="16">
        <f t="shared" si="27"/>
        <v>4</v>
      </c>
      <c r="G140" s="17">
        <v>0</v>
      </c>
      <c r="I140" s="2"/>
      <c r="K140" s="16">
        <f t="shared" si="25"/>
        <v>3.0400000000000023</v>
      </c>
      <c r="L140" s="17">
        <f t="shared" si="24"/>
        <v>9.2416000000000142</v>
      </c>
    </row>
    <row r="141" spans="6:12" x14ac:dyDescent="0.3">
      <c r="F141" s="16">
        <f t="shared" si="27"/>
        <v>4</v>
      </c>
      <c r="G141" s="17">
        <f t="shared" si="22"/>
        <v>16</v>
      </c>
      <c r="I141" s="2">
        <f t="shared" si="26"/>
        <v>16</v>
      </c>
      <c r="K141" s="16">
        <f t="shared" si="25"/>
        <v>3.0550000000000024</v>
      </c>
      <c r="L141" s="17">
        <f t="shared" si="24"/>
        <v>9.3330250000000152</v>
      </c>
    </row>
    <row r="142" spans="6:12" x14ac:dyDescent="0.3">
      <c r="F142" s="16">
        <f t="shared" si="27"/>
        <v>4</v>
      </c>
      <c r="G142" s="17">
        <f t="shared" si="22"/>
        <v>16</v>
      </c>
      <c r="I142" s="2">
        <f t="shared" si="26"/>
        <v>16</v>
      </c>
      <c r="K142" s="16">
        <f t="shared" si="25"/>
        <v>3.0700000000000025</v>
      </c>
      <c r="L142" s="17">
        <f t="shared" si="24"/>
        <v>9.4249000000000152</v>
      </c>
    </row>
    <row r="143" spans="6:12" x14ac:dyDescent="0.3">
      <c r="F143" s="16">
        <f t="shared" si="27"/>
        <v>4</v>
      </c>
      <c r="G143" s="17">
        <v>0</v>
      </c>
      <c r="I143" s="2"/>
      <c r="K143" s="16">
        <f t="shared" si="25"/>
        <v>3.0850000000000026</v>
      </c>
      <c r="L143" s="17">
        <f t="shared" si="24"/>
        <v>9.5172250000000158</v>
      </c>
    </row>
    <row r="144" spans="6:12" x14ac:dyDescent="0.3">
      <c r="F144" s="16">
        <f t="shared" si="27"/>
        <v>4</v>
      </c>
      <c r="G144" s="17">
        <f t="shared" si="22"/>
        <v>16</v>
      </c>
      <c r="I144" s="2">
        <f t="shared" si="26"/>
        <v>16</v>
      </c>
      <c r="K144" s="16">
        <f t="shared" si="25"/>
        <v>3.1000000000000028</v>
      </c>
      <c r="L144" s="17">
        <f t="shared" si="24"/>
        <v>9.6100000000000172</v>
      </c>
    </row>
    <row r="145" spans="6:12" x14ac:dyDescent="0.3">
      <c r="F145" s="16">
        <f t="shared" si="27"/>
        <v>4</v>
      </c>
      <c r="G145" s="17">
        <f t="shared" si="22"/>
        <v>16</v>
      </c>
      <c r="I145" s="2">
        <f t="shared" si="26"/>
        <v>16</v>
      </c>
      <c r="K145" s="16">
        <f t="shared" si="25"/>
        <v>3.1150000000000029</v>
      </c>
      <c r="L145" s="17">
        <f t="shared" si="24"/>
        <v>9.7032250000000175</v>
      </c>
    </row>
    <row r="146" spans="6:12" x14ac:dyDescent="0.3">
      <c r="F146" s="16">
        <f t="shared" si="27"/>
        <v>4</v>
      </c>
      <c r="G146" s="17">
        <v>0</v>
      </c>
      <c r="I146" s="2"/>
      <c r="K146" s="16">
        <f t="shared" si="25"/>
        <v>3.130000000000003</v>
      </c>
      <c r="L146" s="17">
        <f t="shared" si="24"/>
        <v>9.7969000000000186</v>
      </c>
    </row>
    <row r="147" spans="6:12" x14ac:dyDescent="0.3">
      <c r="F147" s="16">
        <f t="shared" si="27"/>
        <v>4</v>
      </c>
      <c r="G147" s="17">
        <f t="shared" si="22"/>
        <v>16</v>
      </c>
      <c r="I147" s="2">
        <f t="shared" si="26"/>
        <v>16</v>
      </c>
      <c r="K147" s="16">
        <f t="shared" si="25"/>
        <v>3.1450000000000031</v>
      </c>
      <c r="L147" s="17">
        <f t="shared" si="24"/>
        <v>9.8910250000000204</v>
      </c>
    </row>
    <row r="148" spans="6:12" x14ac:dyDescent="0.3">
      <c r="F148" s="16">
        <f t="shared" si="27"/>
        <v>4</v>
      </c>
      <c r="G148" s="17">
        <f t="shared" si="22"/>
        <v>16</v>
      </c>
      <c r="I148" s="2">
        <f t="shared" si="26"/>
        <v>16</v>
      </c>
      <c r="K148" s="16">
        <f t="shared" si="25"/>
        <v>3.1600000000000033</v>
      </c>
      <c r="L148" s="17">
        <f t="shared" si="24"/>
        <v>9.9856000000000211</v>
      </c>
    </row>
    <row r="149" spans="6:12" x14ac:dyDescent="0.3">
      <c r="F149" s="16">
        <f t="shared" si="27"/>
        <v>4</v>
      </c>
      <c r="G149" s="17">
        <v>0</v>
      </c>
      <c r="I149" s="2"/>
      <c r="K149" s="16">
        <f t="shared" si="25"/>
        <v>3.1750000000000034</v>
      </c>
      <c r="L149" s="17">
        <f t="shared" si="24"/>
        <v>10.080625000000021</v>
      </c>
    </row>
    <row r="150" spans="6:12" x14ac:dyDescent="0.3">
      <c r="F150" s="16">
        <f t="shared" si="27"/>
        <v>4</v>
      </c>
      <c r="G150" s="17">
        <f t="shared" ref="G150:G213" si="28">I150</f>
        <v>16</v>
      </c>
      <c r="I150" s="2">
        <f t="shared" si="26"/>
        <v>16</v>
      </c>
      <c r="K150" s="16">
        <f t="shared" si="25"/>
        <v>3.1900000000000035</v>
      </c>
      <c r="L150" s="17">
        <f t="shared" si="24"/>
        <v>10.176100000000023</v>
      </c>
    </row>
    <row r="151" spans="6:12" x14ac:dyDescent="0.3">
      <c r="F151" s="16">
        <f t="shared" si="27"/>
        <v>4</v>
      </c>
      <c r="G151" s="17">
        <f t="shared" si="28"/>
        <v>16</v>
      </c>
      <c r="I151" s="2">
        <f t="shared" si="26"/>
        <v>16</v>
      </c>
      <c r="K151" s="16">
        <f t="shared" si="25"/>
        <v>3.2050000000000036</v>
      </c>
      <c r="L151" s="17">
        <f t="shared" si="24"/>
        <v>10.272025000000022</v>
      </c>
    </row>
    <row r="152" spans="6:12" x14ac:dyDescent="0.3">
      <c r="F152" s="16">
        <f t="shared" si="27"/>
        <v>4</v>
      </c>
      <c r="G152" s="17">
        <v>0</v>
      </c>
      <c r="I152" s="2"/>
      <c r="K152" s="16">
        <f t="shared" si="25"/>
        <v>3.2200000000000037</v>
      </c>
      <c r="L152" s="17">
        <f t="shared" si="24"/>
        <v>10.368400000000024</v>
      </c>
    </row>
    <row r="153" spans="6:12" x14ac:dyDescent="0.3">
      <c r="F153" s="16">
        <f t="shared" si="27"/>
        <v>4</v>
      </c>
      <c r="G153" s="17">
        <f t="shared" si="28"/>
        <v>16</v>
      </c>
      <c r="I153" s="2">
        <f t="shared" si="26"/>
        <v>16</v>
      </c>
      <c r="K153" s="16">
        <f t="shared" si="25"/>
        <v>3.2350000000000039</v>
      </c>
      <c r="L153" s="17">
        <f t="shared" si="24"/>
        <v>10.465225000000025</v>
      </c>
    </row>
    <row r="154" spans="6:12" x14ac:dyDescent="0.3">
      <c r="F154" s="16">
        <f t="shared" si="27"/>
        <v>4</v>
      </c>
      <c r="G154" s="17">
        <f t="shared" si="28"/>
        <v>16</v>
      </c>
      <c r="I154" s="2">
        <f t="shared" si="26"/>
        <v>16</v>
      </c>
      <c r="K154" s="16">
        <f t="shared" si="25"/>
        <v>3.250000000000004</v>
      </c>
      <c r="L154" s="17">
        <f t="shared" si="24"/>
        <v>10.562500000000027</v>
      </c>
    </row>
    <row r="155" spans="6:12" x14ac:dyDescent="0.3">
      <c r="F155" s="16">
        <f t="shared" si="27"/>
        <v>4</v>
      </c>
      <c r="G155" s="17">
        <v>0</v>
      </c>
      <c r="I155" s="2"/>
      <c r="K155" s="16">
        <f t="shared" si="25"/>
        <v>3.2650000000000041</v>
      </c>
      <c r="L155" s="17">
        <f t="shared" si="24"/>
        <v>10.660225000000027</v>
      </c>
    </row>
    <row r="156" spans="6:12" x14ac:dyDescent="0.3">
      <c r="F156" s="16">
        <f t="shared" si="27"/>
        <v>4</v>
      </c>
      <c r="G156" s="17">
        <f t="shared" si="28"/>
        <v>16</v>
      </c>
      <c r="I156" s="2">
        <f t="shared" si="26"/>
        <v>16</v>
      </c>
      <c r="K156" s="16">
        <f t="shared" si="25"/>
        <v>3.2800000000000042</v>
      </c>
      <c r="L156" s="17">
        <f t="shared" si="24"/>
        <v>10.758400000000028</v>
      </c>
    </row>
    <row r="157" spans="6:12" x14ac:dyDescent="0.3">
      <c r="F157" s="16">
        <f t="shared" si="27"/>
        <v>4</v>
      </c>
      <c r="G157" s="17">
        <f t="shared" si="28"/>
        <v>16</v>
      </c>
      <c r="I157" s="2">
        <f t="shared" si="26"/>
        <v>16</v>
      </c>
      <c r="K157" s="16">
        <f t="shared" si="25"/>
        <v>3.2950000000000044</v>
      </c>
      <c r="L157" s="17">
        <f t="shared" si="24"/>
        <v>10.857025000000029</v>
      </c>
    </row>
    <row r="158" spans="6:12" x14ac:dyDescent="0.3">
      <c r="F158" s="16">
        <f t="shared" si="27"/>
        <v>4</v>
      </c>
      <c r="G158" s="17">
        <v>0</v>
      </c>
      <c r="I158" s="2"/>
      <c r="K158" s="16">
        <f t="shared" si="25"/>
        <v>3.3100000000000045</v>
      </c>
      <c r="L158" s="17">
        <f t="shared" si="24"/>
        <v>10.956100000000029</v>
      </c>
    </row>
    <row r="159" spans="6:12" x14ac:dyDescent="0.3">
      <c r="F159" s="16">
        <f t="shared" si="27"/>
        <v>4</v>
      </c>
      <c r="G159" s="17">
        <f t="shared" si="28"/>
        <v>16</v>
      </c>
      <c r="I159" s="2">
        <f t="shared" si="26"/>
        <v>16</v>
      </c>
      <c r="K159" s="16">
        <f t="shared" si="25"/>
        <v>3.3250000000000046</v>
      </c>
      <c r="L159" s="17">
        <f t="shared" si="24"/>
        <v>11.055625000000031</v>
      </c>
    </row>
    <row r="160" spans="6:12" x14ac:dyDescent="0.3">
      <c r="F160" s="16">
        <f t="shared" si="27"/>
        <v>4</v>
      </c>
      <c r="G160" s="17">
        <f t="shared" si="28"/>
        <v>16</v>
      </c>
      <c r="I160" s="2">
        <f t="shared" si="26"/>
        <v>16</v>
      </c>
      <c r="K160" s="16">
        <f t="shared" si="25"/>
        <v>3.3400000000000047</v>
      </c>
      <c r="L160" s="17">
        <f t="shared" si="24"/>
        <v>11.155600000000032</v>
      </c>
    </row>
    <row r="161" spans="6:12" x14ac:dyDescent="0.3">
      <c r="F161" s="16">
        <f t="shared" si="27"/>
        <v>4</v>
      </c>
      <c r="G161" s="17">
        <v>0</v>
      </c>
      <c r="I161" s="2"/>
      <c r="K161" s="16">
        <f t="shared" si="25"/>
        <v>3.3550000000000049</v>
      </c>
      <c r="L161" s="17">
        <f t="shared" si="24"/>
        <v>11.256025000000033</v>
      </c>
    </row>
    <row r="162" spans="6:12" x14ac:dyDescent="0.3">
      <c r="F162" s="16">
        <f t="shared" si="27"/>
        <v>4</v>
      </c>
      <c r="G162" s="17">
        <f t="shared" si="28"/>
        <v>16</v>
      </c>
      <c r="I162" s="2">
        <f t="shared" si="26"/>
        <v>16</v>
      </c>
      <c r="K162" s="16">
        <f t="shared" si="25"/>
        <v>3.370000000000005</v>
      </c>
      <c r="L162" s="17">
        <f t="shared" si="24"/>
        <v>11.356900000000033</v>
      </c>
    </row>
    <row r="163" spans="6:12" x14ac:dyDescent="0.3">
      <c r="F163" s="16">
        <f t="shared" si="27"/>
        <v>4</v>
      </c>
      <c r="G163" s="17">
        <f t="shared" si="28"/>
        <v>16</v>
      </c>
      <c r="I163" s="2">
        <f t="shared" si="26"/>
        <v>16</v>
      </c>
      <c r="K163" s="16">
        <f t="shared" si="25"/>
        <v>3.3850000000000051</v>
      </c>
      <c r="L163" s="17">
        <f t="shared" si="24"/>
        <v>11.458225000000034</v>
      </c>
    </row>
    <row r="164" spans="6:12" x14ac:dyDescent="0.3">
      <c r="F164" s="16">
        <f t="shared" si="27"/>
        <v>4</v>
      </c>
      <c r="G164" s="17">
        <v>0</v>
      </c>
      <c r="I164" s="2"/>
      <c r="K164" s="16">
        <f t="shared" si="25"/>
        <v>3.4000000000000052</v>
      </c>
      <c r="L164" s="17">
        <f t="shared" si="24"/>
        <v>11.560000000000036</v>
      </c>
    </row>
    <row r="165" spans="6:12" x14ac:dyDescent="0.3">
      <c r="F165" s="16">
        <f t="shared" si="27"/>
        <v>4</v>
      </c>
      <c r="G165" s="17">
        <f t="shared" si="28"/>
        <v>16</v>
      </c>
      <c r="I165" s="2">
        <f t="shared" si="26"/>
        <v>16</v>
      </c>
      <c r="K165" s="16">
        <f t="shared" si="25"/>
        <v>3.4150000000000054</v>
      </c>
      <c r="L165" s="17">
        <f t="shared" si="24"/>
        <v>11.662225000000037</v>
      </c>
    </row>
    <row r="166" spans="6:12" x14ac:dyDescent="0.3">
      <c r="F166" s="16">
        <f t="shared" si="27"/>
        <v>4</v>
      </c>
      <c r="G166" s="17">
        <f t="shared" si="28"/>
        <v>16</v>
      </c>
      <c r="I166" s="2">
        <f t="shared" si="26"/>
        <v>16</v>
      </c>
      <c r="K166" s="16">
        <f t="shared" si="25"/>
        <v>3.4300000000000055</v>
      </c>
      <c r="L166" s="17">
        <f t="shared" si="24"/>
        <v>11.764900000000038</v>
      </c>
    </row>
    <row r="167" spans="6:12" x14ac:dyDescent="0.3">
      <c r="F167" s="16">
        <f t="shared" si="27"/>
        <v>4</v>
      </c>
      <c r="G167" s="17">
        <v>0</v>
      </c>
      <c r="I167" s="2"/>
      <c r="K167" s="16">
        <f t="shared" si="25"/>
        <v>3.4450000000000056</v>
      </c>
      <c r="L167" s="17">
        <f t="shared" si="24"/>
        <v>11.868025000000038</v>
      </c>
    </row>
    <row r="168" spans="6:12" x14ac:dyDescent="0.3">
      <c r="F168" s="16">
        <f t="shared" si="27"/>
        <v>4</v>
      </c>
      <c r="G168" s="17">
        <f t="shared" si="28"/>
        <v>16</v>
      </c>
      <c r="I168" s="2">
        <f t="shared" si="26"/>
        <v>16</v>
      </c>
      <c r="K168" s="16">
        <f t="shared" si="25"/>
        <v>3.4600000000000057</v>
      </c>
      <c r="L168" s="17">
        <f t="shared" si="24"/>
        <v>11.97160000000004</v>
      </c>
    </row>
    <row r="169" spans="6:12" x14ac:dyDescent="0.3">
      <c r="F169" s="16">
        <f t="shared" si="27"/>
        <v>4</v>
      </c>
      <c r="G169" s="17">
        <f t="shared" si="28"/>
        <v>16</v>
      </c>
      <c r="I169" s="2">
        <f t="shared" si="26"/>
        <v>16</v>
      </c>
      <c r="K169" s="16">
        <f t="shared" si="25"/>
        <v>3.4750000000000059</v>
      </c>
      <c r="L169" s="17">
        <f t="shared" si="24"/>
        <v>12.075625000000041</v>
      </c>
    </row>
    <row r="170" spans="6:12" x14ac:dyDescent="0.3">
      <c r="F170" s="16">
        <f t="shared" si="27"/>
        <v>4</v>
      </c>
      <c r="G170" s="17">
        <v>0</v>
      </c>
      <c r="I170" s="2"/>
      <c r="K170" s="16">
        <f t="shared" si="25"/>
        <v>3.490000000000006</v>
      </c>
      <c r="L170" s="17">
        <f t="shared" si="24"/>
        <v>12.180100000000042</v>
      </c>
    </row>
    <row r="171" spans="6:12" x14ac:dyDescent="0.3">
      <c r="F171" s="16">
        <f t="shared" si="27"/>
        <v>4</v>
      </c>
      <c r="G171" s="17">
        <f t="shared" si="28"/>
        <v>16</v>
      </c>
      <c r="I171" s="2">
        <f t="shared" si="26"/>
        <v>16</v>
      </c>
      <c r="K171" s="16">
        <f t="shared" si="25"/>
        <v>3.5050000000000061</v>
      </c>
      <c r="L171" s="17">
        <f t="shared" si="24"/>
        <v>12.285025000000044</v>
      </c>
    </row>
    <row r="172" spans="6:12" x14ac:dyDescent="0.3">
      <c r="F172" s="16">
        <f t="shared" si="27"/>
        <v>4</v>
      </c>
      <c r="G172" s="17">
        <f t="shared" si="28"/>
        <v>16</v>
      </c>
      <c r="I172" s="2">
        <f t="shared" si="26"/>
        <v>16</v>
      </c>
      <c r="K172" s="16">
        <f t="shared" si="25"/>
        <v>3.5200000000000062</v>
      </c>
      <c r="L172" s="17">
        <f t="shared" si="24"/>
        <v>12.390400000000044</v>
      </c>
    </row>
    <row r="173" spans="6:12" x14ac:dyDescent="0.3">
      <c r="F173" s="16">
        <f t="shared" si="27"/>
        <v>4</v>
      </c>
      <c r="G173" s="17">
        <v>0</v>
      </c>
      <c r="I173" s="2"/>
      <c r="K173" s="16">
        <f t="shared" si="25"/>
        <v>3.5350000000000064</v>
      </c>
      <c r="L173" s="17">
        <f t="shared" si="24"/>
        <v>12.496225000000045</v>
      </c>
    </row>
    <row r="174" spans="6:12" x14ac:dyDescent="0.3">
      <c r="F174" s="16">
        <f t="shared" si="27"/>
        <v>4</v>
      </c>
      <c r="G174" s="17">
        <f t="shared" si="28"/>
        <v>16</v>
      </c>
      <c r="I174" s="2">
        <f t="shared" si="26"/>
        <v>16</v>
      </c>
      <c r="K174" s="16">
        <f t="shared" si="25"/>
        <v>3.5500000000000065</v>
      </c>
      <c r="L174" s="17">
        <f t="shared" si="24"/>
        <v>12.602500000000045</v>
      </c>
    </row>
    <row r="175" spans="6:12" x14ac:dyDescent="0.3">
      <c r="F175" s="16">
        <f t="shared" si="27"/>
        <v>4</v>
      </c>
      <c r="G175" s="17">
        <f t="shared" si="28"/>
        <v>16</v>
      </c>
      <c r="I175" s="2">
        <f t="shared" si="26"/>
        <v>16</v>
      </c>
      <c r="K175" s="16">
        <f t="shared" si="25"/>
        <v>3.5650000000000066</v>
      </c>
      <c r="L175" s="17">
        <f t="shared" si="24"/>
        <v>12.709225000000048</v>
      </c>
    </row>
    <row r="176" spans="6:12" x14ac:dyDescent="0.3">
      <c r="F176" s="16">
        <f t="shared" si="27"/>
        <v>4</v>
      </c>
      <c r="G176" s="17">
        <v>0</v>
      </c>
      <c r="I176" s="2"/>
      <c r="K176" s="16">
        <f t="shared" si="25"/>
        <v>3.5800000000000067</v>
      </c>
      <c r="L176" s="17">
        <f t="shared" si="24"/>
        <v>12.816400000000048</v>
      </c>
    </row>
    <row r="177" spans="6:12" x14ac:dyDescent="0.3">
      <c r="F177" s="16">
        <f t="shared" si="27"/>
        <v>4</v>
      </c>
      <c r="G177" s="17">
        <f t="shared" si="28"/>
        <v>16</v>
      </c>
      <c r="I177" s="2">
        <f t="shared" si="26"/>
        <v>16</v>
      </c>
      <c r="K177" s="16">
        <f t="shared" si="25"/>
        <v>3.5950000000000069</v>
      </c>
      <c r="L177" s="17">
        <f t="shared" si="24"/>
        <v>12.92402500000005</v>
      </c>
    </row>
    <row r="178" spans="6:12" x14ac:dyDescent="0.3">
      <c r="F178" s="16">
        <f t="shared" si="27"/>
        <v>4</v>
      </c>
      <c r="G178" s="17">
        <f t="shared" si="28"/>
        <v>16</v>
      </c>
      <c r="I178" s="2">
        <f t="shared" si="26"/>
        <v>16</v>
      </c>
      <c r="K178" s="16">
        <f t="shared" si="25"/>
        <v>3.610000000000007</v>
      </c>
      <c r="L178" s="17">
        <f t="shared" si="24"/>
        <v>13.03210000000005</v>
      </c>
    </row>
    <row r="179" spans="6:12" x14ac:dyDescent="0.3">
      <c r="F179" s="16">
        <f t="shared" si="27"/>
        <v>4</v>
      </c>
      <c r="G179" s="17">
        <v>0</v>
      </c>
      <c r="I179" s="2"/>
      <c r="K179" s="16">
        <f t="shared" si="25"/>
        <v>3.6250000000000071</v>
      </c>
      <c r="L179" s="17">
        <f t="shared" si="24"/>
        <v>13.140625000000052</v>
      </c>
    </row>
    <row r="180" spans="6:12" x14ac:dyDescent="0.3">
      <c r="F180" s="16">
        <f t="shared" si="27"/>
        <v>4</v>
      </c>
      <c r="G180" s="17">
        <f t="shared" si="28"/>
        <v>16</v>
      </c>
      <c r="I180" s="2">
        <f t="shared" si="26"/>
        <v>16</v>
      </c>
      <c r="K180" s="16">
        <f t="shared" si="25"/>
        <v>3.6400000000000072</v>
      </c>
      <c r="L180" s="17">
        <f t="shared" si="24"/>
        <v>13.249600000000052</v>
      </c>
    </row>
    <row r="181" spans="6:12" x14ac:dyDescent="0.3">
      <c r="F181" s="16">
        <f t="shared" si="27"/>
        <v>4</v>
      </c>
      <c r="G181" s="17">
        <f t="shared" si="28"/>
        <v>16</v>
      </c>
      <c r="I181" s="2">
        <f t="shared" si="26"/>
        <v>16</v>
      </c>
      <c r="K181" s="16">
        <f t="shared" si="25"/>
        <v>3.6550000000000074</v>
      </c>
      <c r="L181" s="17">
        <f t="shared" si="24"/>
        <v>13.359025000000054</v>
      </c>
    </row>
    <row r="182" spans="6:12" x14ac:dyDescent="0.3">
      <c r="F182" s="16">
        <f t="shared" si="27"/>
        <v>4</v>
      </c>
      <c r="G182" s="17">
        <v>0</v>
      </c>
      <c r="I182" s="2"/>
      <c r="K182" s="16">
        <f t="shared" si="25"/>
        <v>3.6700000000000075</v>
      </c>
      <c r="L182" s="17">
        <f t="shared" si="24"/>
        <v>13.468900000000055</v>
      </c>
    </row>
    <row r="183" spans="6:12" x14ac:dyDescent="0.3">
      <c r="F183" s="16">
        <f t="shared" si="27"/>
        <v>4</v>
      </c>
      <c r="G183" s="17">
        <f t="shared" si="28"/>
        <v>16</v>
      </c>
      <c r="I183" s="2">
        <f t="shared" si="26"/>
        <v>16</v>
      </c>
      <c r="K183" s="16">
        <f t="shared" si="25"/>
        <v>3.6850000000000076</v>
      </c>
      <c r="L183" s="17">
        <f t="shared" si="24"/>
        <v>13.579225000000056</v>
      </c>
    </row>
    <row r="184" spans="6:12" x14ac:dyDescent="0.3">
      <c r="F184" s="16">
        <f t="shared" si="27"/>
        <v>4</v>
      </c>
      <c r="G184" s="17">
        <f t="shared" si="28"/>
        <v>16</v>
      </c>
      <c r="I184" s="2">
        <f t="shared" si="26"/>
        <v>16</v>
      </c>
      <c r="K184" s="16">
        <f t="shared" si="25"/>
        <v>3.7000000000000077</v>
      </c>
      <c r="L184" s="17">
        <f t="shared" si="24"/>
        <v>13.690000000000056</v>
      </c>
    </row>
    <row r="185" spans="6:12" x14ac:dyDescent="0.3">
      <c r="F185" s="16">
        <f t="shared" si="27"/>
        <v>4</v>
      </c>
      <c r="G185" s="17">
        <v>0</v>
      </c>
      <c r="I185" s="2"/>
      <c r="K185" s="16">
        <f t="shared" si="25"/>
        <v>3.7150000000000079</v>
      </c>
      <c r="L185" s="17">
        <f t="shared" si="24"/>
        <v>13.801225000000059</v>
      </c>
    </row>
    <row r="186" spans="6:12" x14ac:dyDescent="0.3">
      <c r="F186" s="16">
        <f t="shared" si="27"/>
        <v>4</v>
      </c>
      <c r="G186" s="17">
        <f t="shared" si="28"/>
        <v>16</v>
      </c>
      <c r="I186" s="2">
        <f t="shared" si="26"/>
        <v>16</v>
      </c>
      <c r="K186" s="16">
        <f t="shared" si="25"/>
        <v>3.730000000000008</v>
      </c>
      <c r="L186" s="17">
        <f t="shared" si="24"/>
        <v>13.912900000000059</v>
      </c>
    </row>
    <row r="187" spans="6:12" x14ac:dyDescent="0.3">
      <c r="F187" s="16">
        <f t="shared" si="27"/>
        <v>4</v>
      </c>
      <c r="G187" s="17">
        <f t="shared" si="28"/>
        <v>16</v>
      </c>
      <c r="I187" s="2">
        <f t="shared" si="26"/>
        <v>16</v>
      </c>
      <c r="K187" s="16">
        <f t="shared" si="25"/>
        <v>3.7450000000000081</v>
      </c>
      <c r="L187" s="17">
        <f t="shared" si="24"/>
        <v>14.02502500000006</v>
      </c>
    </row>
    <row r="188" spans="6:12" x14ac:dyDescent="0.3">
      <c r="F188" s="16">
        <f t="shared" si="27"/>
        <v>4</v>
      </c>
      <c r="G188" s="17">
        <v>0</v>
      </c>
      <c r="I188" s="2"/>
      <c r="K188" s="16">
        <f t="shared" si="25"/>
        <v>3.7600000000000082</v>
      </c>
      <c r="L188" s="17">
        <f t="shared" si="24"/>
        <v>14.137600000000061</v>
      </c>
    </row>
    <row r="189" spans="6:12" x14ac:dyDescent="0.3">
      <c r="F189" s="16">
        <f t="shared" si="27"/>
        <v>4</v>
      </c>
      <c r="G189" s="17">
        <f t="shared" si="28"/>
        <v>16</v>
      </c>
      <c r="I189" s="2">
        <f t="shared" si="26"/>
        <v>16</v>
      </c>
      <c r="K189" s="16">
        <f t="shared" si="25"/>
        <v>3.7750000000000083</v>
      </c>
      <c r="L189" s="17">
        <f t="shared" si="24"/>
        <v>14.250625000000063</v>
      </c>
    </row>
    <row r="190" spans="6:12" x14ac:dyDescent="0.3">
      <c r="F190" s="16">
        <f t="shared" si="27"/>
        <v>4</v>
      </c>
      <c r="G190" s="17">
        <f t="shared" si="28"/>
        <v>16</v>
      </c>
      <c r="I190" s="2">
        <f t="shared" si="26"/>
        <v>16</v>
      </c>
      <c r="K190" s="16">
        <f t="shared" si="25"/>
        <v>3.7900000000000085</v>
      </c>
      <c r="L190" s="17">
        <f t="shared" si="24"/>
        <v>14.364100000000064</v>
      </c>
    </row>
    <row r="191" spans="6:12" x14ac:dyDescent="0.3">
      <c r="F191" s="16">
        <f t="shared" si="27"/>
        <v>4</v>
      </c>
      <c r="G191" s="17">
        <v>0</v>
      </c>
      <c r="I191" s="2"/>
      <c r="K191" s="16">
        <f t="shared" si="25"/>
        <v>3.8050000000000086</v>
      </c>
      <c r="L191" s="17">
        <f t="shared" si="24"/>
        <v>14.478025000000066</v>
      </c>
    </row>
    <row r="192" spans="6:12" x14ac:dyDescent="0.3">
      <c r="F192" s="16">
        <f t="shared" si="27"/>
        <v>4</v>
      </c>
      <c r="G192" s="17">
        <f t="shared" si="28"/>
        <v>16</v>
      </c>
      <c r="I192" s="2">
        <f t="shared" si="26"/>
        <v>16</v>
      </c>
      <c r="K192" s="16">
        <f t="shared" si="25"/>
        <v>3.8200000000000087</v>
      </c>
      <c r="L192" s="17">
        <f t="shared" si="24"/>
        <v>14.592400000000067</v>
      </c>
    </row>
    <row r="193" spans="6:12" x14ac:dyDescent="0.3">
      <c r="F193" s="16">
        <f t="shared" si="27"/>
        <v>4</v>
      </c>
      <c r="G193" s="17">
        <f t="shared" si="28"/>
        <v>16</v>
      </c>
      <c r="I193" s="2">
        <f t="shared" si="26"/>
        <v>16</v>
      </c>
      <c r="K193" s="16">
        <f t="shared" si="25"/>
        <v>3.8350000000000088</v>
      </c>
      <c r="L193" s="17">
        <f t="shared" si="24"/>
        <v>14.707225000000069</v>
      </c>
    </row>
    <row r="194" spans="6:12" x14ac:dyDescent="0.3">
      <c r="F194" s="16">
        <f t="shared" si="27"/>
        <v>4</v>
      </c>
      <c r="G194" s="17">
        <v>0</v>
      </c>
      <c r="I194" s="2"/>
      <c r="K194" s="16">
        <f t="shared" si="25"/>
        <v>3.850000000000009</v>
      </c>
      <c r="L194" s="17">
        <f t="shared" si="24"/>
        <v>14.822500000000069</v>
      </c>
    </row>
    <row r="195" spans="6:12" x14ac:dyDescent="0.3">
      <c r="F195" s="16">
        <f t="shared" si="27"/>
        <v>4</v>
      </c>
      <c r="G195" s="17">
        <f t="shared" si="28"/>
        <v>16</v>
      </c>
      <c r="I195" s="2">
        <f t="shared" si="26"/>
        <v>16</v>
      </c>
      <c r="K195" s="16">
        <f t="shared" si="25"/>
        <v>3.8650000000000091</v>
      </c>
      <c r="L195" s="17">
        <f t="shared" si="24"/>
        <v>14.93822500000007</v>
      </c>
    </row>
    <row r="196" spans="6:12" x14ac:dyDescent="0.3">
      <c r="F196" s="16">
        <f t="shared" si="27"/>
        <v>4</v>
      </c>
      <c r="G196" s="17">
        <f t="shared" si="28"/>
        <v>16</v>
      </c>
      <c r="I196" s="2">
        <f t="shared" si="26"/>
        <v>16</v>
      </c>
      <c r="K196" s="16">
        <f t="shared" si="25"/>
        <v>3.8800000000000092</v>
      </c>
      <c r="L196" s="17">
        <f t="shared" si="24"/>
        <v>15.054400000000072</v>
      </c>
    </row>
    <row r="197" spans="6:12" x14ac:dyDescent="0.3">
      <c r="F197" s="16">
        <f t="shared" si="27"/>
        <v>4</v>
      </c>
      <c r="G197" s="17">
        <v>0</v>
      </c>
      <c r="I197" s="2"/>
      <c r="K197" s="16">
        <f t="shared" si="25"/>
        <v>3.8950000000000093</v>
      </c>
      <c r="L197" s="17">
        <f t="shared" ref="L197:L203" si="29">K197^2</f>
        <v>15.171025000000073</v>
      </c>
    </row>
    <row r="198" spans="6:12" x14ac:dyDescent="0.3">
      <c r="F198" s="16">
        <f t="shared" si="27"/>
        <v>4</v>
      </c>
      <c r="G198" s="17">
        <f t="shared" si="28"/>
        <v>16</v>
      </c>
      <c r="I198" s="2">
        <f t="shared" si="26"/>
        <v>16</v>
      </c>
      <c r="K198" s="16">
        <f t="shared" ref="K198:K204" si="30">K197+($C$20-$C$19)/200</f>
        <v>3.9100000000000095</v>
      </c>
      <c r="L198" s="17">
        <f t="shared" si="29"/>
        <v>15.288100000000075</v>
      </c>
    </row>
    <row r="199" spans="6:12" x14ac:dyDescent="0.3">
      <c r="F199" s="16">
        <f t="shared" si="27"/>
        <v>4</v>
      </c>
      <c r="G199" s="17">
        <f t="shared" si="28"/>
        <v>16</v>
      </c>
      <c r="I199" s="2">
        <f t="shared" ref="I199:I262" si="31">F199^2</f>
        <v>16</v>
      </c>
      <c r="K199" s="16">
        <f t="shared" si="30"/>
        <v>3.9250000000000096</v>
      </c>
      <c r="L199" s="17">
        <f t="shared" si="29"/>
        <v>15.405625000000075</v>
      </c>
    </row>
    <row r="200" spans="6:12" x14ac:dyDescent="0.3">
      <c r="F200" s="16">
        <f t="shared" ref="F200:F263" si="32">IF(F197+$C$23&gt;$C$20,$C$20,F197+$C$23)</f>
        <v>4</v>
      </c>
      <c r="G200" s="17">
        <v>0</v>
      </c>
      <c r="I200" s="2"/>
      <c r="K200" s="16">
        <f t="shared" si="30"/>
        <v>3.9400000000000097</v>
      </c>
      <c r="L200" s="17">
        <f t="shared" si="29"/>
        <v>15.523600000000076</v>
      </c>
    </row>
    <row r="201" spans="6:12" x14ac:dyDescent="0.3">
      <c r="F201" s="16">
        <f t="shared" si="32"/>
        <v>4</v>
      </c>
      <c r="G201" s="17">
        <f t="shared" si="28"/>
        <v>16</v>
      </c>
      <c r="I201" s="2">
        <f t="shared" si="31"/>
        <v>16</v>
      </c>
      <c r="K201" s="16">
        <f t="shared" si="30"/>
        <v>3.9550000000000098</v>
      </c>
      <c r="L201" s="17">
        <f t="shared" si="29"/>
        <v>15.642025000000078</v>
      </c>
    </row>
    <row r="202" spans="6:12" x14ac:dyDescent="0.3">
      <c r="F202" s="16">
        <f t="shared" si="32"/>
        <v>4</v>
      </c>
      <c r="G202" s="17">
        <f t="shared" si="28"/>
        <v>16</v>
      </c>
      <c r="I202" s="2">
        <f t="shared" si="31"/>
        <v>16</v>
      </c>
      <c r="K202" s="16">
        <f t="shared" si="30"/>
        <v>3.97000000000001</v>
      </c>
      <c r="L202" s="17">
        <f t="shared" si="29"/>
        <v>15.760900000000079</v>
      </c>
    </row>
    <row r="203" spans="6:12" x14ac:dyDescent="0.3">
      <c r="F203" s="16">
        <f t="shared" si="32"/>
        <v>4</v>
      </c>
      <c r="G203" s="17">
        <v>0</v>
      </c>
      <c r="I203" s="2"/>
      <c r="K203" s="16">
        <f t="shared" si="30"/>
        <v>3.9850000000000101</v>
      </c>
      <c r="L203" s="17">
        <f t="shared" si="29"/>
        <v>15.880225000000081</v>
      </c>
    </row>
    <row r="204" spans="6:12" x14ac:dyDescent="0.3">
      <c r="F204" s="16">
        <f t="shared" si="32"/>
        <v>4</v>
      </c>
      <c r="G204" s="17">
        <f t="shared" si="28"/>
        <v>16</v>
      </c>
      <c r="I204" s="2">
        <f t="shared" si="31"/>
        <v>16</v>
      </c>
      <c r="K204" s="18">
        <f t="shared" si="30"/>
        <v>4.0000000000000098</v>
      </c>
      <c r="L204" s="19"/>
    </row>
    <row r="205" spans="6:12" x14ac:dyDescent="0.3">
      <c r="F205" s="16">
        <f t="shared" si="32"/>
        <v>4</v>
      </c>
      <c r="G205" s="17">
        <f t="shared" si="28"/>
        <v>16</v>
      </c>
      <c r="I205" s="2">
        <f t="shared" si="31"/>
        <v>16</v>
      </c>
    </row>
    <row r="206" spans="6:12" x14ac:dyDescent="0.3">
      <c r="F206" s="16">
        <f t="shared" si="32"/>
        <v>4</v>
      </c>
      <c r="G206" s="17">
        <v>0</v>
      </c>
      <c r="I206" s="2"/>
    </row>
    <row r="207" spans="6:12" x14ac:dyDescent="0.3">
      <c r="F207" s="16">
        <f t="shared" si="32"/>
        <v>4</v>
      </c>
      <c r="G207" s="17">
        <f t="shared" si="28"/>
        <v>16</v>
      </c>
      <c r="I207" s="2">
        <f t="shared" si="31"/>
        <v>16</v>
      </c>
    </row>
    <row r="208" spans="6:12" x14ac:dyDescent="0.3">
      <c r="F208" s="16">
        <f t="shared" si="32"/>
        <v>4</v>
      </c>
      <c r="G208" s="17">
        <f t="shared" si="28"/>
        <v>16</v>
      </c>
      <c r="I208" s="2">
        <f t="shared" si="31"/>
        <v>16</v>
      </c>
    </row>
    <row r="209" spans="6:9" x14ac:dyDescent="0.3">
      <c r="F209" s="16">
        <f t="shared" si="32"/>
        <v>4</v>
      </c>
      <c r="G209" s="17">
        <v>0</v>
      </c>
      <c r="I209" s="2"/>
    </row>
    <row r="210" spans="6:9" x14ac:dyDescent="0.3">
      <c r="F210" s="16">
        <f t="shared" si="32"/>
        <v>4</v>
      </c>
      <c r="G210" s="17">
        <f t="shared" si="28"/>
        <v>16</v>
      </c>
      <c r="I210" s="2">
        <f t="shared" si="31"/>
        <v>16</v>
      </c>
    </row>
    <row r="211" spans="6:9" x14ac:dyDescent="0.3">
      <c r="F211" s="16">
        <f t="shared" si="32"/>
        <v>4</v>
      </c>
      <c r="G211" s="17">
        <f t="shared" si="28"/>
        <v>16</v>
      </c>
      <c r="I211" s="2">
        <f t="shared" si="31"/>
        <v>16</v>
      </c>
    </row>
    <row r="212" spans="6:9" x14ac:dyDescent="0.3">
      <c r="F212" s="16">
        <f t="shared" si="32"/>
        <v>4</v>
      </c>
      <c r="G212" s="17">
        <v>0</v>
      </c>
      <c r="I212" s="2"/>
    </row>
    <row r="213" spans="6:9" x14ac:dyDescent="0.3">
      <c r="F213" s="16">
        <f t="shared" si="32"/>
        <v>4</v>
      </c>
      <c r="G213" s="17">
        <f t="shared" si="28"/>
        <v>16</v>
      </c>
      <c r="I213" s="2">
        <f t="shared" si="31"/>
        <v>16</v>
      </c>
    </row>
    <row r="214" spans="6:9" x14ac:dyDescent="0.3">
      <c r="F214" s="16">
        <f t="shared" si="32"/>
        <v>4</v>
      </c>
      <c r="G214" s="17">
        <f t="shared" ref="G214:G277" si="33">I214</f>
        <v>16</v>
      </c>
      <c r="I214" s="2">
        <f t="shared" si="31"/>
        <v>16</v>
      </c>
    </row>
    <row r="215" spans="6:9" x14ac:dyDescent="0.3">
      <c r="F215" s="16">
        <f t="shared" si="32"/>
        <v>4</v>
      </c>
      <c r="G215" s="17">
        <v>0</v>
      </c>
      <c r="I215" s="2"/>
    </row>
    <row r="216" spans="6:9" x14ac:dyDescent="0.3">
      <c r="F216" s="16">
        <f t="shared" si="32"/>
        <v>4</v>
      </c>
      <c r="G216" s="17">
        <f t="shared" si="33"/>
        <v>16</v>
      </c>
      <c r="I216" s="2">
        <f t="shared" si="31"/>
        <v>16</v>
      </c>
    </row>
    <row r="217" spans="6:9" x14ac:dyDescent="0.3">
      <c r="F217" s="16">
        <f t="shared" si="32"/>
        <v>4</v>
      </c>
      <c r="G217" s="17">
        <f t="shared" si="33"/>
        <v>16</v>
      </c>
      <c r="I217" s="2">
        <f t="shared" si="31"/>
        <v>16</v>
      </c>
    </row>
    <row r="218" spans="6:9" x14ac:dyDescent="0.3">
      <c r="F218" s="16">
        <f t="shared" si="32"/>
        <v>4</v>
      </c>
      <c r="G218" s="17">
        <v>0</v>
      </c>
      <c r="I218" s="2"/>
    </row>
    <row r="219" spans="6:9" x14ac:dyDescent="0.3">
      <c r="F219" s="16">
        <f t="shared" si="32"/>
        <v>4</v>
      </c>
      <c r="G219" s="17">
        <f t="shared" si="33"/>
        <v>16</v>
      </c>
      <c r="I219" s="2">
        <f t="shared" si="31"/>
        <v>16</v>
      </c>
    </row>
    <row r="220" spans="6:9" x14ac:dyDescent="0.3">
      <c r="F220" s="16">
        <f t="shared" si="32"/>
        <v>4</v>
      </c>
      <c r="G220" s="17">
        <f t="shared" si="33"/>
        <v>16</v>
      </c>
      <c r="I220" s="2">
        <f t="shared" si="31"/>
        <v>16</v>
      </c>
    </row>
    <row r="221" spans="6:9" x14ac:dyDescent="0.3">
      <c r="F221" s="16">
        <f t="shared" si="32"/>
        <v>4</v>
      </c>
      <c r="G221" s="17">
        <v>0</v>
      </c>
      <c r="I221" s="2"/>
    </row>
    <row r="222" spans="6:9" x14ac:dyDescent="0.3">
      <c r="F222" s="16">
        <f t="shared" si="32"/>
        <v>4</v>
      </c>
      <c r="G222" s="17">
        <f t="shared" si="33"/>
        <v>16</v>
      </c>
      <c r="I222" s="2">
        <f t="shared" si="31"/>
        <v>16</v>
      </c>
    </row>
    <row r="223" spans="6:9" x14ac:dyDescent="0.3">
      <c r="F223" s="16">
        <f t="shared" si="32"/>
        <v>4</v>
      </c>
      <c r="G223" s="17">
        <f t="shared" si="33"/>
        <v>16</v>
      </c>
      <c r="I223" s="2">
        <f t="shared" si="31"/>
        <v>16</v>
      </c>
    </row>
    <row r="224" spans="6:9" x14ac:dyDescent="0.3">
      <c r="F224" s="16">
        <f t="shared" si="32"/>
        <v>4</v>
      </c>
      <c r="G224" s="17">
        <v>0</v>
      </c>
      <c r="I224" s="2"/>
    </row>
    <row r="225" spans="6:9" x14ac:dyDescent="0.3">
      <c r="F225" s="16">
        <f t="shared" si="32"/>
        <v>4</v>
      </c>
      <c r="G225" s="17">
        <f t="shared" si="33"/>
        <v>16</v>
      </c>
      <c r="I225" s="2">
        <f t="shared" si="31"/>
        <v>16</v>
      </c>
    </row>
    <row r="226" spans="6:9" x14ac:dyDescent="0.3">
      <c r="F226" s="16">
        <f t="shared" si="32"/>
        <v>4</v>
      </c>
      <c r="G226" s="17">
        <f t="shared" si="33"/>
        <v>16</v>
      </c>
      <c r="I226" s="2">
        <f t="shared" si="31"/>
        <v>16</v>
      </c>
    </row>
    <row r="227" spans="6:9" x14ac:dyDescent="0.3">
      <c r="F227" s="16">
        <f t="shared" si="32"/>
        <v>4</v>
      </c>
      <c r="G227" s="17">
        <v>0</v>
      </c>
      <c r="I227" s="2"/>
    </row>
    <row r="228" spans="6:9" x14ac:dyDescent="0.3">
      <c r="F228" s="16">
        <f t="shared" si="32"/>
        <v>4</v>
      </c>
      <c r="G228" s="17">
        <f t="shared" si="33"/>
        <v>16</v>
      </c>
      <c r="I228" s="2">
        <f t="shared" si="31"/>
        <v>16</v>
      </c>
    </row>
    <row r="229" spans="6:9" x14ac:dyDescent="0.3">
      <c r="F229" s="16">
        <f t="shared" si="32"/>
        <v>4</v>
      </c>
      <c r="G229" s="17">
        <f t="shared" si="33"/>
        <v>16</v>
      </c>
      <c r="I229" s="2">
        <f t="shared" si="31"/>
        <v>16</v>
      </c>
    </row>
    <row r="230" spans="6:9" x14ac:dyDescent="0.3">
      <c r="F230" s="16">
        <f t="shared" si="32"/>
        <v>4</v>
      </c>
      <c r="G230" s="17">
        <v>0</v>
      </c>
      <c r="I230" s="2"/>
    </row>
    <row r="231" spans="6:9" x14ac:dyDescent="0.3">
      <c r="F231" s="16">
        <f t="shared" si="32"/>
        <v>4</v>
      </c>
      <c r="G231" s="17">
        <f t="shared" si="33"/>
        <v>16</v>
      </c>
      <c r="I231" s="2">
        <f t="shared" si="31"/>
        <v>16</v>
      </c>
    </row>
    <row r="232" spans="6:9" x14ac:dyDescent="0.3">
      <c r="F232" s="16">
        <f t="shared" si="32"/>
        <v>4</v>
      </c>
      <c r="G232" s="17">
        <f t="shared" si="33"/>
        <v>16</v>
      </c>
      <c r="I232" s="2">
        <f t="shared" si="31"/>
        <v>16</v>
      </c>
    </row>
    <row r="233" spans="6:9" x14ac:dyDescent="0.3">
      <c r="F233" s="16">
        <f t="shared" si="32"/>
        <v>4</v>
      </c>
      <c r="G233" s="17">
        <v>0</v>
      </c>
      <c r="I233" s="2"/>
    </row>
    <row r="234" spans="6:9" x14ac:dyDescent="0.3">
      <c r="F234" s="16">
        <f t="shared" si="32"/>
        <v>4</v>
      </c>
      <c r="G234" s="17">
        <f t="shared" si="33"/>
        <v>16</v>
      </c>
      <c r="I234" s="2">
        <f t="shared" si="31"/>
        <v>16</v>
      </c>
    </row>
    <row r="235" spans="6:9" x14ac:dyDescent="0.3">
      <c r="F235" s="16">
        <f t="shared" si="32"/>
        <v>4</v>
      </c>
      <c r="G235" s="17">
        <f t="shared" si="33"/>
        <v>16</v>
      </c>
      <c r="I235" s="2">
        <f t="shared" si="31"/>
        <v>16</v>
      </c>
    </row>
    <row r="236" spans="6:9" x14ac:dyDescent="0.3">
      <c r="F236" s="16">
        <f t="shared" si="32"/>
        <v>4</v>
      </c>
      <c r="G236" s="17">
        <v>0</v>
      </c>
      <c r="I236" s="2"/>
    </row>
    <row r="237" spans="6:9" x14ac:dyDescent="0.3">
      <c r="F237" s="16">
        <f t="shared" si="32"/>
        <v>4</v>
      </c>
      <c r="G237" s="17">
        <f t="shared" si="33"/>
        <v>16</v>
      </c>
      <c r="I237" s="2">
        <f t="shared" si="31"/>
        <v>16</v>
      </c>
    </row>
    <row r="238" spans="6:9" x14ac:dyDescent="0.3">
      <c r="F238" s="16">
        <f t="shared" si="32"/>
        <v>4</v>
      </c>
      <c r="G238" s="17">
        <f t="shared" si="33"/>
        <v>16</v>
      </c>
      <c r="I238" s="2">
        <f t="shared" si="31"/>
        <v>16</v>
      </c>
    </row>
    <row r="239" spans="6:9" x14ac:dyDescent="0.3">
      <c r="F239" s="16">
        <f t="shared" si="32"/>
        <v>4</v>
      </c>
      <c r="G239" s="17">
        <v>0</v>
      </c>
      <c r="I239" s="2"/>
    </row>
    <row r="240" spans="6:9" x14ac:dyDescent="0.3">
      <c r="F240" s="16">
        <f t="shared" si="32"/>
        <v>4</v>
      </c>
      <c r="G240" s="17">
        <f t="shared" si="33"/>
        <v>16</v>
      </c>
      <c r="I240" s="2">
        <f t="shared" si="31"/>
        <v>16</v>
      </c>
    </row>
    <row r="241" spans="6:9" x14ac:dyDescent="0.3">
      <c r="F241" s="16">
        <f t="shared" si="32"/>
        <v>4</v>
      </c>
      <c r="G241" s="17">
        <f t="shared" si="33"/>
        <v>16</v>
      </c>
      <c r="I241" s="2">
        <f t="shared" si="31"/>
        <v>16</v>
      </c>
    </row>
    <row r="242" spans="6:9" x14ac:dyDescent="0.3">
      <c r="F242" s="16">
        <f t="shared" si="32"/>
        <v>4</v>
      </c>
      <c r="G242" s="17">
        <v>0</v>
      </c>
      <c r="I242" s="2"/>
    </row>
    <row r="243" spans="6:9" x14ac:dyDescent="0.3">
      <c r="F243" s="16">
        <f t="shared" si="32"/>
        <v>4</v>
      </c>
      <c r="G243" s="17">
        <f t="shared" si="33"/>
        <v>16</v>
      </c>
      <c r="I243" s="2">
        <f t="shared" si="31"/>
        <v>16</v>
      </c>
    </row>
    <row r="244" spans="6:9" x14ac:dyDescent="0.3">
      <c r="F244" s="16">
        <f t="shared" si="32"/>
        <v>4</v>
      </c>
      <c r="G244" s="17">
        <f t="shared" si="33"/>
        <v>16</v>
      </c>
      <c r="I244" s="2">
        <f t="shared" si="31"/>
        <v>16</v>
      </c>
    </row>
    <row r="245" spans="6:9" x14ac:dyDescent="0.3">
      <c r="F245" s="16">
        <f t="shared" si="32"/>
        <v>4</v>
      </c>
      <c r="G245" s="17">
        <v>0</v>
      </c>
      <c r="I245" s="2"/>
    </row>
    <row r="246" spans="6:9" x14ac:dyDescent="0.3">
      <c r="F246" s="16">
        <f t="shared" si="32"/>
        <v>4</v>
      </c>
      <c r="G246" s="17">
        <f t="shared" si="33"/>
        <v>16</v>
      </c>
      <c r="I246" s="2">
        <f t="shared" si="31"/>
        <v>16</v>
      </c>
    </row>
    <row r="247" spans="6:9" x14ac:dyDescent="0.3">
      <c r="F247" s="16">
        <f t="shared" si="32"/>
        <v>4</v>
      </c>
      <c r="G247" s="17">
        <f t="shared" si="33"/>
        <v>16</v>
      </c>
      <c r="I247" s="2">
        <f t="shared" si="31"/>
        <v>16</v>
      </c>
    </row>
    <row r="248" spans="6:9" x14ac:dyDescent="0.3">
      <c r="F248" s="16">
        <f t="shared" si="32"/>
        <v>4</v>
      </c>
      <c r="G248" s="17">
        <v>0</v>
      </c>
      <c r="I248" s="2"/>
    </row>
    <row r="249" spans="6:9" x14ac:dyDescent="0.3">
      <c r="F249" s="16">
        <f t="shared" si="32"/>
        <v>4</v>
      </c>
      <c r="G249" s="17">
        <f t="shared" si="33"/>
        <v>16</v>
      </c>
      <c r="I249" s="2">
        <f t="shared" si="31"/>
        <v>16</v>
      </c>
    </row>
    <row r="250" spans="6:9" x14ac:dyDescent="0.3">
      <c r="F250" s="16">
        <f t="shared" si="32"/>
        <v>4</v>
      </c>
      <c r="G250" s="17">
        <f t="shared" si="33"/>
        <v>16</v>
      </c>
      <c r="I250" s="2">
        <f t="shared" si="31"/>
        <v>16</v>
      </c>
    </row>
    <row r="251" spans="6:9" x14ac:dyDescent="0.3">
      <c r="F251" s="16">
        <f t="shared" si="32"/>
        <v>4</v>
      </c>
      <c r="G251" s="17">
        <v>0</v>
      </c>
      <c r="I251" s="2"/>
    </row>
    <row r="252" spans="6:9" x14ac:dyDescent="0.3">
      <c r="F252" s="16">
        <f t="shared" si="32"/>
        <v>4</v>
      </c>
      <c r="G252" s="17">
        <f t="shared" si="33"/>
        <v>16</v>
      </c>
      <c r="I252" s="2">
        <f t="shared" si="31"/>
        <v>16</v>
      </c>
    </row>
    <row r="253" spans="6:9" x14ac:dyDescent="0.3">
      <c r="F253" s="16">
        <f t="shared" si="32"/>
        <v>4</v>
      </c>
      <c r="G253" s="17">
        <f t="shared" si="33"/>
        <v>16</v>
      </c>
      <c r="I253" s="2">
        <f t="shared" si="31"/>
        <v>16</v>
      </c>
    </row>
    <row r="254" spans="6:9" x14ac:dyDescent="0.3">
      <c r="F254" s="16">
        <f t="shared" si="32"/>
        <v>4</v>
      </c>
      <c r="G254" s="17">
        <v>0</v>
      </c>
      <c r="I254" s="2"/>
    </row>
    <row r="255" spans="6:9" x14ac:dyDescent="0.3">
      <c r="F255" s="16">
        <f t="shared" si="32"/>
        <v>4</v>
      </c>
      <c r="G255" s="17">
        <f t="shared" si="33"/>
        <v>16</v>
      </c>
      <c r="I255" s="2">
        <f t="shared" si="31"/>
        <v>16</v>
      </c>
    </row>
    <row r="256" spans="6:9" x14ac:dyDescent="0.3">
      <c r="F256" s="16">
        <f t="shared" si="32"/>
        <v>4</v>
      </c>
      <c r="G256" s="17">
        <f t="shared" si="33"/>
        <v>16</v>
      </c>
      <c r="I256" s="2">
        <f t="shared" si="31"/>
        <v>16</v>
      </c>
    </row>
    <row r="257" spans="6:9" x14ac:dyDescent="0.3">
      <c r="F257" s="16">
        <f t="shared" si="32"/>
        <v>4</v>
      </c>
      <c r="G257" s="17">
        <v>0</v>
      </c>
      <c r="I257" s="2"/>
    </row>
    <row r="258" spans="6:9" x14ac:dyDescent="0.3">
      <c r="F258" s="16">
        <f t="shared" si="32"/>
        <v>4</v>
      </c>
      <c r="G258" s="17">
        <f t="shared" si="33"/>
        <v>16</v>
      </c>
      <c r="I258" s="2">
        <f t="shared" si="31"/>
        <v>16</v>
      </c>
    </row>
    <row r="259" spans="6:9" x14ac:dyDescent="0.3">
      <c r="F259" s="16">
        <f t="shared" si="32"/>
        <v>4</v>
      </c>
      <c r="G259" s="17">
        <f t="shared" si="33"/>
        <v>16</v>
      </c>
      <c r="I259" s="2">
        <f t="shared" si="31"/>
        <v>16</v>
      </c>
    </row>
    <row r="260" spans="6:9" x14ac:dyDescent="0.3">
      <c r="F260" s="16">
        <f t="shared" si="32"/>
        <v>4</v>
      </c>
      <c r="G260" s="17">
        <v>0</v>
      </c>
      <c r="I260" s="2"/>
    </row>
    <row r="261" spans="6:9" x14ac:dyDescent="0.3">
      <c r="F261" s="16">
        <f t="shared" si="32"/>
        <v>4</v>
      </c>
      <c r="G261" s="17">
        <f t="shared" si="33"/>
        <v>16</v>
      </c>
      <c r="I261" s="2">
        <f t="shared" si="31"/>
        <v>16</v>
      </c>
    </row>
    <row r="262" spans="6:9" x14ac:dyDescent="0.3">
      <c r="F262" s="16">
        <f t="shared" si="32"/>
        <v>4</v>
      </c>
      <c r="G262" s="17">
        <f t="shared" si="33"/>
        <v>16</v>
      </c>
      <c r="I262" s="2">
        <f t="shared" si="31"/>
        <v>16</v>
      </c>
    </row>
    <row r="263" spans="6:9" x14ac:dyDescent="0.3">
      <c r="F263" s="16">
        <f t="shared" si="32"/>
        <v>4</v>
      </c>
      <c r="G263" s="17">
        <v>0</v>
      </c>
      <c r="I263" s="2"/>
    </row>
    <row r="264" spans="6:9" x14ac:dyDescent="0.3">
      <c r="F264" s="16">
        <f t="shared" ref="F264:F304" si="34">IF(F261+$C$23&gt;$C$20,$C$20,F261+$C$23)</f>
        <v>4</v>
      </c>
      <c r="G264" s="17">
        <f t="shared" si="33"/>
        <v>16</v>
      </c>
      <c r="I264" s="2">
        <f t="shared" ref="I264:I304" si="35">F264^2</f>
        <v>16</v>
      </c>
    </row>
    <row r="265" spans="6:9" x14ac:dyDescent="0.3">
      <c r="F265" s="16">
        <f t="shared" si="34"/>
        <v>4</v>
      </c>
      <c r="G265" s="17">
        <f t="shared" si="33"/>
        <v>16</v>
      </c>
      <c r="I265" s="2">
        <f t="shared" si="35"/>
        <v>16</v>
      </c>
    </row>
    <row r="266" spans="6:9" x14ac:dyDescent="0.3">
      <c r="F266" s="16">
        <f t="shared" si="34"/>
        <v>4</v>
      </c>
      <c r="G266" s="17">
        <v>0</v>
      </c>
      <c r="I266" s="2"/>
    </row>
    <row r="267" spans="6:9" x14ac:dyDescent="0.3">
      <c r="F267" s="16">
        <f t="shared" si="34"/>
        <v>4</v>
      </c>
      <c r="G267" s="17">
        <f t="shared" si="33"/>
        <v>16</v>
      </c>
      <c r="I267" s="2">
        <f t="shared" si="35"/>
        <v>16</v>
      </c>
    </row>
    <row r="268" spans="6:9" x14ac:dyDescent="0.3">
      <c r="F268" s="16">
        <f t="shared" si="34"/>
        <v>4</v>
      </c>
      <c r="G268" s="17">
        <f t="shared" si="33"/>
        <v>16</v>
      </c>
      <c r="I268" s="2">
        <f t="shared" si="35"/>
        <v>16</v>
      </c>
    </row>
    <row r="269" spans="6:9" x14ac:dyDescent="0.3">
      <c r="F269" s="16">
        <f t="shared" si="34"/>
        <v>4</v>
      </c>
      <c r="G269" s="17">
        <v>0</v>
      </c>
      <c r="I269" s="2"/>
    </row>
    <row r="270" spans="6:9" x14ac:dyDescent="0.3">
      <c r="F270" s="16">
        <f t="shared" si="34"/>
        <v>4</v>
      </c>
      <c r="G270" s="17">
        <f t="shared" si="33"/>
        <v>16</v>
      </c>
      <c r="I270" s="2">
        <f t="shared" si="35"/>
        <v>16</v>
      </c>
    </row>
    <row r="271" spans="6:9" x14ac:dyDescent="0.3">
      <c r="F271" s="16">
        <f t="shared" si="34"/>
        <v>4</v>
      </c>
      <c r="G271" s="17">
        <f t="shared" si="33"/>
        <v>16</v>
      </c>
      <c r="I271" s="2">
        <f t="shared" si="35"/>
        <v>16</v>
      </c>
    </row>
    <row r="272" spans="6:9" x14ac:dyDescent="0.3">
      <c r="F272" s="16">
        <f t="shared" si="34"/>
        <v>4</v>
      </c>
      <c r="G272" s="17">
        <v>0</v>
      </c>
      <c r="I272" s="2"/>
    </row>
    <row r="273" spans="6:9" x14ac:dyDescent="0.3">
      <c r="F273" s="16">
        <f t="shared" si="34"/>
        <v>4</v>
      </c>
      <c r="G273" s="17">
        <f t="shared" si="33"/>
        <v>16</v>
      </c>
      <c r="I273" s="2">
        <f t="shared" si="35"/>
        <v>16</v>
      </c>
    </row>
    <row r="274" spans="6:9" x14ac:dyDescent="0.3">
      <c r="F274" s="16">
        <f t="shared" si="34"/>
        <v>4</v>
      </c>
      <c r="G274" s="17">
        <f t="shared" si="33"/>
        <v>16</v>
      </c>
      <c r="I274" s="2">
        <f t="shared" si="35"/>
        <v>16</v>
      </c>
    </row>
    <row r="275" spans="6:9" x14ac:dyDescent="0.3">
      <c r="F275" s="16">
        <f t="shared" si="34"/>
        <v>4</v>
      </c>
      <c r="G275" s="17">
        <v>0</v>
      </c>
      <c r="I275" s="2"/>
    </row>
    <row r="276" spans="6:9" x14ac:dyDescent="0.3">
      <c r="F276" s="16">
        <f t="shared" si="34"/>
        <v>4</v>
      </c>
      <c r="G276" s="17">
        <f t="shared" si="33"/>
        <v>16</v>
      </c>
      <c r="I276" s="2">
        <f t="shared" si="35"/>
        <v>16</v>
      </c>
    </row>
    <row r="277" spans="6:9" x14ac:dyDescent="0.3">
      <c r="F277" s="16">
        <f t="shared" si="34"/>
        <v>4</v>
      </c>
      <c r="G277" s="17">
        <f t="shared" si="33"/>
        <v>16</v>
      </c>
      <c r="I277" s="2">
        <f t="shared" si="35"/>
        <v>16</v>
      </c>
    </row>
    <row r="278" spans="6:9" x14ac:dyDescent="0.3">
      <c r="F278" s="16">
        <f t="shared" si="34"/>
        <v>4</v>
      </c>
      <c r="G278" s="17">
        <v>0</v>
      </c>
      <c r="I278" s="2"/>
    </row>
    <row r="279" spans="6:9" x14ac:dyDescent="0.3">
      <c r="F279" s="16">
        <f t="shared" si="34"/>
        <v>4</v>
      </c>
      <c r="G279" s="17">
        <f t="shared" ref="G279:G304" si="36">I279</f>
        <v>16</v>
      </c>
      <c r="I279" s="2">
        <f t="shared" si="35"/>
        <v>16</v>
      </c>
    </row>
    <row r="280" spans="6:9" x14ac:dyDescent="0.3">
      <c r="F280" s="16">
        <f t="shared" si="34"/>
        <v>4</v>
      </c>
      <c r="G280" s="17">
        <f t="shared" si="36"/>
        <v>16</v>
      </c>
      <c r="I280" s="2">
        <f t="shared" si="35"/>
        <v>16</v>
      </c>
    </row>
    <row r="281" spans="6:9" x14ac:dyDescent="0.3">
      <c r="F281" s="16">
        <f t="shared" si="34"/>
        <v>4</v>
      </c>
      <c r="G281" s="17">
        <v>0</v>
      </c>
      <c r="I281" s="2"/>
    </row>
    <row r="282" spans="6:9" x14ac:dyDescent="0.3">
      <c r="F282" s="16">
        <f t="shared" si="34"/>
        <v>4</v>
      </c>
      <c r="G282" s="17">
        <f t="shared" si="36"/>
        <v>16</v>
      </c>
      <c r="I282" s="2">
        <f t="shared" si="35"/>
        <v>16</v>
      </c>
    </row>
    <row r="283" spans="6:9" x14ac:dyDescent="0.3">
      <c r="F283" s="16">
        <f t="shared" si="34"/>
        <v>4</v>
      </c>
      <c r="G283" s="17">
        <f t="shared" si="36"/>
        <v>16</v>
      </c>
      <c r="I283" s="2">
        <f t="shared" si="35"/>
        <v>16</v>
      </c>
    </row>
    <row r="284" spans="6:9" x14ac:dyDescent="0.3">
      <c r="F284" s="16">
        <f t="shared" si="34"/>
        <v>4</v>
      </c>
      <c r="G284" s="17">
        <v>0</v>
      </c>
      <c r="I284" s="2"/>
    </row>
    <row r="285" spans="6:9" x14ac:dyDescent="0.3">
      <c r="F285" s="16">
        <f t="shared" si="34"/>
        <v>4</v>
      </c>
      <c r="G285" s="17">
        <f t="shared" si="36"/>
        <v>16</v>
      </c>
      <c r="I285" s="2">
        <f t="shared" si="35"/>
        <v>16</v>
      </c>
    </row>
    <row r="286" spans="6:9" x14ac:dyDescent="0.3">
      <c r="F286" s="16">
        <f t="shared" si="34"/>
        <v>4</v>
      </c>
      <c r="G286" s="17">
        <f t="shared" si="36"/>
        <v>16</v>
      </c>
      <c r="I286" s="2">
        <f t="shared" si="35"/>
        <v>16</v>
      </c>
    </row>
    <row r="287" spans="6:9" x14ac:dyDescent="0.3">
      <c r="F287" s="16">
        <f t="shared" si="34"/>
        <v>4</v>
      </c>
      <c r="G287" s="17">
        <v>0</v>
      </c>
      <c r="I287" s="2"/>
    </row>
    <row r="288" spans="6:9" x14ac:dyDescent="0.3">
      <c r="F288" s="16">
        <f t="shared" si="34"/>
        <v>4</v>
      </c>
      <c r="G288" s="17">
        <f t="shared" si="36"/>
        <v>16</v>
      </c>
      <c r="I288" s="2">
        <f t="shared" si="35"/>
        <v>16</v>
      </c>
    </row>
    <row r="289" spans="6:9" x14ac:dyDescent="0.3">
      <c r="F289" s="16">
        <f t="shared" si="34"/>
        <v>4</v>
      </c>
      <c r="G289" s="17">
        <f t="shared" si="36"/>
        <v>16</v>
      </c>
      <c r="I289" s="2">
        <f t="shared" si="35"/>
        <v>16</v>
      </c>
    </row>
    <row r="290" spans="6:9" x14ac:dyDescent="0.3">
      <c r="F290" s="16">
        <f t="shared" si="34"/>
        <v>4</v>
      </c>
      <c r="G290" s="17">
        <v>0</v>
      </c>
      <c r="I290" s="2"/>
    </row>
    <row r="291" spans="6:9" x14ac:dyDescent="0.3">
      <c r="F291" s="16">
        <f t="shared" si="34"/>
        <v>4</v>
      </c>
      <c r="G291" s="17">
        <f t="shared" si="36"/>
        <v>16</v>
      </c>
      <c r="I291" s="2">
        <f t="shared" si="35"/>
        <v>16</v>
      </c>
    </row>
    <row r="292" spans="6:9" x14ac:dyDescent="0.3">
      <c r="F292" s="16">
        <f t="shared" si="34"/>
        <v>4</v>
      </c>
      <c r="G292" s="17">
        <f t="shared" si="36"/>
        <v>16</v>
      </c>
      <c r="I292" s="2">
        <f t="shared" si="35"/>
        <v>16</v>
      </c>
    </row>
    <row r="293" spans="6:9" x14ac:dyDescent="0.3">
      <c r="F293" s="16">
        <f t="shared" si="34"/>
        <v>4</v>
      </c>
      <c r="G293" s="17">
        <v>0</v>
      </c>
      <c r="I293" s="2"/>
    </row>
    <row r="294" spans="6:9" x14ac:dyDescent="0.3">
      <c r="F294" s="16">
        <f t="shared" si="34"/>
        <v>4</v>
      </c>
      <c r="G294" s="17">
        <f t="shared" si="36"/>
        <v>16</v>
      </c>
      <c r="I294" s="2">
        <f t="shared" si="35"/>
        <v>16</v>
      </c>
    </row>
    <row r="295" spans="6:9" x14ac:dyDescent="0.3">
      <c r="F295" s="16">
        <f t="shared" si="34"/>
        <v>4</v>
      </c>
      <c r="G295" s="17">
        <f t="shared" si="36"/>
        <v>16</v>
      </c>
      <c r="I295" s="2">
        <f t="shared" si="35"/>
        <v>16</v>
      </c>
    </row>
    <row r="296" spans="6:9" x14ac:dyDescent="0.3">
      <c r="F296" s="16">
        <f t="shared" si="34"/>
        <v>4</v>
      </c>
      <c r="G296" s="17">
        <v>0</v>
      </c>
      <c r="I296" s="2"/>
    </row>
    <row r="297" spans="6:9" x14ac:dyDescent="0.3">
      <c r="F297" s="16">
        <f t="shared" si="34"/>
        <v>4</v>
      </c>
      <c r="G297" s="17">
        <f t="shared" si="36"/>
        <v>16</v>
      </c>
      <c r="I297" s="2">
        <f t="shared" si="35"/>
        <v>16</v>
      </c>
    </row>
    <row r="298" spans="6:9" x14ac:dyDescent="0.3">
      <c r="F298" s="16">
        <f t="shared" si="34"/>
        <v>4</v>
      </c>
      <c r="G298" s="17">
        <f t="shared" si="36"/>
        <v>16</v>
      </c>
      <c r="I298" s="2">
        <f t="shared" si="35"/>
        <v>16</v>
      </c>
    </row>
    <row r="299" spans="6:9" x14ac:dyDescent="0.3">
      <c r="F299" s="16">
        <f t="shared" si="34"/>
        <v>4</v>
      </c>
      <c r="G299" s="17">
        <v>0</v>
      </c>
      <c r="I299" s="2"/>
    </row>
    <row r="300" spans="6:9" x14ac:dyDescent="0.3">
      <c r="F300" s="16">
        <f t="shared" si="34"/>
        <v>4</v>
      </c>
      <c r="G300" s="17">
        <f t="shared" si="36"/>
        <v>16</v>
      </c>
      <c r="I300" s="2">
        <f t="shared" si="35"/>
        <v>16</v>
      </c>
    </row>
    <row r="301" spans="6:9" x14ac:dyDescent="0.3">
      <c r="F301" s="16">
        <f t="shared" si="34"/>
        <v>4</v>
      </c>
      <c r="G301" s="17">
        <f t="shared" si="36"/>
        <v>16</v>
      </c>
      <c r="I301" s="2">
        <f t="shared" si="35"/>
        <v>16</v>
      </c>
    </row>
    <row r="302" spans="6:9" x14ac:dyDescent="0.3">
      <c r="F302" s="16">
        <f t="shared" si="34"/>
        <v>4</v>
      </c>
      <c r="G302" s="17">
        <v>0</v>
      </c>
      <c r="I302" s="2"/>
    </row>
    <row r="303" spans="6:9" x14ac:dyDescent="0.3">
      <c r="F303" s="16">
        <f t="shared" si="34"/>
        <v>4</v>
      </c>
      <c r="G303" s="17">
        <f t="shared" si="36"/>
        <v>16</v>
      </c>
      <c r="I303" s="2">
        <f t="shared" si="35"/>
        <v>16</v>
      </c>
    </row>
    <row r="304" spans="6:9" x14ac:dyDescent="0.3">
      <c r="F304" s="18">
        <f t="shared" si="34"/>
        <v>4</v>
      </c>
      <c r="G304" s="19">
        <f t="shared" si="36"/>
        <v>16</v>
      </c>
      <c r="I304" s="2">
        <f t="shared" si="35"/>
        <v>16</v>
      </c>
    </row>
  </sheetData>
  <mergeCells count="3">
    <mergeCell ref="K2:L2"/>
    <mergeCell ref="F2:G2"/>
    <mergeCell ref="N2:S2"/>
  </mergeCells>
  <dataValidations count="1">
    <dataValidation type="custom" allowBlank="1" showInputMessage="1" showErrorMessage="1" errorTitle="Wrong Input!" error="Please check for the following:_x000a__x000a_1) n-value is between 1 and 100" sqref="C21" xr:uid="{8290A192-8888-4BCE-B898-970D65BFF30F}">
      <formula1>C21&lt;=100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4D651-F77E-4EB1-B23D-53D76172954B}">
  <sheetPr codeName="Sheet4"/>
  <dimension ref="B2:Z104"/>
  <sheetViews>
    <sheetView zoomScale="70" zoomScaleNormal="70" workbookViewId="0"/>
  </sheetViews>
  <sheetFormatPr defaultRowHeight="14.4" x14ac:dyDescent="0.3"/>
  <cols>
    <col min="2" max="2" width="12.21875" customWidth="1"/>
    <col min="3" max="3" width="26.6640625" customWidth="1"/>
    <col min="5" max="5" width="0" hidden="1" customWidth="1"/>
    <col min="6" max="6" width="8.88671875" hidden="1" customWidth="1"/>
    <col min="12" max="12" width="9" customWidth="1"/>
    <col min="13" max="13" width="13.21875" customWidth="1"/>
  </cols>
  <sheetData>
    <row r="2" spans="2:13" ht="14.4" customHeight="1" thickBot="1" x14ac:dyDescent="0.35">
      <c r="G2" s="46" t="s">
        <v>10</v>
      </c>
      <c r="H2" s="46"/>
      <c r="I2" s="46" t="s">
        <v>24</v>
      </c>
      <c r="J2" s="46"/>
      <c r="K2" s="11"/>
      <c r="L2" s="46" t="s">
        <v>21</v>
      </c>
      <c r="M2" s="46"/>
    </row>
    <row r="3" spans="2:13" ht="14.4" customHeight="1" thickBot="1" x14ac:dyDescent="0.35">
      <c r="G3" s="28" t="s">
        <v>3</v>
      </c>
      <c r="H3" s="28" t="s">
        <v>4</v>
      </c>
      <c r="I3" s="28" t="s">
        <v>2</v>
      </c>
      <c r="J3" s="28" t="s">
        <v>25</v>
      </c>
      <c r="L3" s="28" t="s">
        <v>6</v>
      </c>
      <c r="M3" s="28" t="s">
        <v>5</v>
      </c>
    </row>
    <row r="4" spans="2:13" ht="14.4" customHeight="1" thickBot="1" x14ac:dyDescent="0.35">
      <c r="G4" s="16">
        <f>C19</f>
        <v>1</v>
      </c>
      <c r="H4" s="17">
        <f>IF(J4 = "", "", G4^2)</f>
        <v>1</v>
      </c>
      <c r="I4" s="16">
        <v>0</v>
      </c>
      <c r="J4" s="17">
        <v>1</v>
      </c>
      <c r="L4" s="16"/>
      <c r="M4" s="5">
        <f>MAX(L4:L104)</f>
        <v>21</v>
      </c>
    </row>
    <row r="5" spans="2:13" ht="14.4" customHeight="1" x14ac:dyDescent="0.3">
      <c r="G5" s="16">
        <f>IF(J5="","",G4+($C$20-$C$19)/$C$21)</f>
        <v>1.375</v>
      </c>
      <c r="H5" s="17">
        <f t="shared" ref="H5:H68" si="0">IF(J5 = "", "", G5^2)</f>
        <v>1.890625</v>
      </c>
      <c r="I5" s="16">
        <v>1</v>
      </c>
      <c r="J5" s="17">
        <v>4</v>
      </c>
      <c r="L5" s="14"/>
    </row>
    <row r="6" spans="2:13" ht="14.4" customHeight="1" thickBot="1" x14ac:dyDescent="0.35">
      <c r="G6" s="16">
        <f t="shared" ref="G6:G69" si="1">IF(J6="","",G5+($C$20-$C$19)/$C$21)</f>
        <v>1.75</v>
      </c>
      <c r="H6" s="17">
        <f t="shared" si="0"/>
        <v>3.0625</v>
      </c>
      <c r="I6" s="16">
        <v>2</v>
      </c>
      <c r="J6" s="17">
        <f>IF($C$21&gt;I6,IF(MOD(I6,2)=0,2,4),IF($C$21=I6,1,""))</f>
        <v>2</v>
      </c>
      <c r="L6" s="14">
        <f>IF(J6=1,$C$23/3*(H4+J5*H5+J6),$C$23/3*(H4+J5*H5+J6*H6))</f>
        <v>1.8359375</v>
      </c>
    </row>
    <row r="7" spans="2:13" ht="14.4" customHeight="1" thickBot="1" x14ac:dyDescent="0.35">
      <c r="B7" s="30" t="s">
        <v>12</v>
      </c>
      <c r="C7" s="31" t="s">
        <v>13</v>
      </c>
      <c r="G7" s="16">
        <f t="shared" si="1"/>
        <v>2.125</v>
      </c>
      <c r="H7" s="17">
        <f t="shared" si="0"/>
        <v>4.515625</v>
      </c>
      <c r="I7" s="16">
        <v>3</v>
      </c>
      <c r="J7" s="17">
        <f t="shared" ref="J7:J70" si="2">IF($C$21&gt;I7,IF(MOD(I7,2)=0,2,4),IF($C$21=I7,1,""))</f>
        <v>4</v>
      </c>
      <c r="L7" s="14"/>
    </row>
    <row r="8" spans="2:13" ht="14.4" customHeight="1" x14ac:dyDescent="0.3">
      <c r="G8" s="16">
        <f t="shared" si="1"/>
        <v>2.5</v>
      </c>
      <c r="H8" s="17">
        <f t="shared" si="0"/>
        <v>6.25</v>
      </c>
      <c r="I8" s="16">
        <v>4</v>
      </c>
      <c r="J8" s="17">
        <f t="shared" si="2"/>
        <v>2</v>
      </c>
      <c r="L8" s="14">
        <f t="shared" ref="L8:L39" si="3">IF(MOD(I8,2)=1,"",IF(J8=2,$C$23/3*(J7*H7+J8*H8)+L6,IF(J8=1,$C$23/3*(J7*H7+J8*H8)+L6,"")))</f>
        <v>5.65625</v>
      </c>
    </row>
    <row r="9" spans="2:13" ht="14.4" customHeight="1" x14ac:dyDescent="0.3">
      <c r="G9" s="16">
        <f t="shared" si="1"/>
        <v>2.875</v>
      </c>
      <c r="H9" s="17">
        <f t="shared" si="0"/>
        <v>8.265625</v>
      </c>
      <c r="I9" s="16">
        <v>5</v>
      </c>
      <c r="J9" s="17">
        <f t="shared" si="2"/>
        <v>4</v>
      </c>
      <c r="L9" s="14" t="str">
        <f t="shared" si="3"/>
        <v/>
      </c>
    </row>
    <row r="10" spans="2:13" ht="14.4" customHeight="1" x14ac:dyDescent="0.3">
      <c r="G10" s="16">
        <f t="shared" si="1"/>
        <v>3.25</v>
      </c>
      <c r="H10" s="17">
        <f t="shared" si="0"/>
        <v>10.5625</v>
      </c>
      <c r="I10" s="16">
        <v>6</v>
      </c>
      <c r="J10" s="17">
        <f t="shared" si="2"/>
        <v>2</v>
      </c>
      <c r="L10" s="14">
        <f>IF(MOD(I10,2)=1,"",IF(J10=2,$C$23/3*(J9*H9+J10*H10)+L8,IF(J10=1,$C$23/3*(J9*H9+J10*H10)+L8,"")))</f>
        <v>12.4296875</v>
      </c>
    </row>
    <row r="11" spans="2:13" ht="14.4" customHeight="1" x14ac:dyDescent="0.3">
      <c r="G11" s="16">
        <f t="shared" si="1"/>
        <v>3.625</v>
      </c>
      <c r="H11" s="17">
        <f t="shared" si="0"/>
        <v>13.140625</v>
      </c>
      <c r="I11" s="16">
        <v>7</v>
      </c>
      <c r="J11" s="17">
        <f t="shared" si="2"/>
        <v>4</v>
      </c>
      <c r="L11" s="14" t="str">
        <f t="shared" si="3"/>
        <v/>
      </c>
    </row>
    <row r="12" spans="2:13" ht="14.4" customHeight="1" x14ac:dyDescent="0.3">
      <c r="G12" s="16">
        <f t="shared" si="1"/>
        <v>4</v>
      </c>
      <c r="H12" s="17">
        <f t="shared" si="0"/>
        <v>16</v>
      </c>
      <c r="I12" s="16">
        <v>8</v>
      </c>
      <c r="J12" s="17">
        <f t="shared" si="2"/>
        <v>1</v>
      </c>
      <c r="L12" s="14">
        <f t="shared" si="3"/>
        <v>21</v>
      </c>
    </row>
    <row r="13" spans="2:13" ht="14.4" customHeight="1" x14ac:dyDescent="0.3">
      <c r="G13" s="16" t="str">
        <f t="shared" si="1"/>
        <v/>
      </c>
      <c r="H13" s="17" t="str">
        <f t="shared" si="0"/>
        <v/>
      </c>
      <c r="I13" s="16">
        <v>9</v>
      </c>
      <c r="J13" s="17" t="str">
        <f t="shared" si="2"/>
        <v/>
      </c>
      <c r="L13" s="14" t="str">
        <f t="shared" si="3"/>
        <v/>
      </c>
    </row>
    <row r="14" spans="2:13" ht="14.4" customHeight="1" x14ac:dyDescent="0.3">
      <c r="G14" s="16" t="str">
        <f t="shared" si="1"/>
        <v/>
      </c>
      <c r="H14" s="17" t="str">
        <f t="shared" si="0"/>
        <v/>
      </c>
      <c r="I14" s="16">
        <v>10</v>
      </c>
      <c r="J14" s="17" t="str">
        <f t="shared" si="2"/>
        <v/>
      </c>
      <c r="L14" s="14" t="str">
        <f t="shared" si="3"/>
        <v/>
      </c>
    </row>
    <row r="15" spans="2:13" ht="14.4" customHeight="1" x14ac:dyDescent="0.3">
      <c r="G15" s="16" t="str">
        <f t="shared" si="1"/>
        <v/>
      </c>
      <c r="H15" s="17" t="str">
        <f t="shared" si="0"/>
        <v/>
      </c>
      <c r="I15" s="16">
        <v>11</v>
      </c>
      <c r="J15" s="17" t="str">
        <f t="shared" si="2"/>
        <v/>
      </c>
      <c r="L15" s="14" t="str">
        <f t="shared" si="3"/>
        <v/>
      </c>
    </row>
    <row r="16" spans="2:13" ht="14.4" customHeight="1" x14ac:dyDescent="0.3">
      <c r="G16" s="16" t="str">
        <f t="shared" si="1"/>
        <v/>
      </c>
      <c r="H16" s="17" t="str">
        <f t="shared" si="0"/>
        <v/>
      </c>
      <c r="I16" s="16">
        <v>12</v>
      </c>
      <c r="J16" s="17" t="str">
        <f t="shared" si="2"/>
        <v/>
      </c>
      <c r="L16" s="14" t="str">
        <f t="shared" si="3"/>
        <v/>
      </c>
    </row>
    <row r="17" spans="2:26" ht="14.4" customHeight="1" thickBot="1" x14ac:dyDescent="0.35">
      <c r="G17" s="16" t="str">
        <f t="shared" si="1"/>
        <v/>
      </c>
      <c r="H17" s="17" t="str">
        <f t="shared" si="0"/>
        <v/>
      </c>
      <c r="I17" s="16">
        <v>13</v>
      </c>
      <c r="J17" s="17" t="str">
        <f t="shared" si="2"/>
        <v/>
      </c>
      <c r="L17" s="14" t="str">
        <f t="shared" si="3"/>
        <v/>
      </c>
    </row>
    <row r="18" spans="2:26" ht="14.4" customHeight="1" thickBot="1" x14ac:dyDescent="0.35">
      <c r="B18" s="4"/>
      <c r="C18" s="30" t="s">
        <v>19</v>
      </c>
      <c r="G18" s="16" t="str">
        <f t="shared" si="1"/>
        <v/>
      </c>
      <c r="H18" s="17" t="str">
        <f t="shared" si="0"/>
        <v/>
      </c>
      <c r="I18" s="16">
        <v>14</v>
      </c>
      <c r="J18" s="17" t="str">
        <f t="shared" si="2"/>
        <v/>
      </c>
      <c r="L18" s="14" t="str">
        <f t="shared" si="3"/>
        <v/>
      </c>
    </row>
    <row r="19" spans="2:26" ht="14.4" customHeight="1" thickBot="1" x14ac:dyDescent="0.35">
      <c r="B19" s="28" t="s">
        <v>0</v>
      </c>
      <c r="C19" s="6">
        <v>1</v>
      </c>
      <c r="G19" s="16" t="str">
        <f t="shared" si="1"/>
        <v/>
      </c>
      <c r="H19" s="17" t="str">
        <f t="shared" si="0"/>
        <v/>
      </c>
      <c r="I19" s="16">
        <v>15</v>
      </c>
      <c r="J19" s="17" t="str">
        <f t="shared" si="2"/>
        <v/>
      </c>
      <c r="L19" s="14" t="str">
        <f t="shared" si="3"/>
        <v/>
      </c>
    </row>
    <row r="20" spans="2:26" ht="14.4" customHeight="1" thickBot="1" x14ac:dyDescent="0.35">
      <c r="B20" s="28" t="s">
        <v>1</v>
      </c>
      <c r="C20" s="3">
        <v>4</v>
      </c>
      <c r="G20" s="16" t="str">
        <f t="shared" si="1"/>
        <v/>
      </c>
      <c r="H20" s="17" t="str">
        <f t="shared" si="0"/>
        <v/>
      </c>
      <c r="I20" s="16">
        <v>16</v>
      </c>
      <c r="J20" s="17" t="str">
        <f t="shared" si="2"/>
        <v/>
      </c>
      <c r="L20" s="14" t="str">
        <f t="shared" si="3"/>
        <v/>
      </c>
    </row>
    <row r="21" spans="2:26" ht="14.4" customHeight="1" thickBot="1" x14ac:dyDescent="0.35">
      <c r="B21" s="28" t="s">
        <v>2</v>
      </c>
      <c r="C21" s="3">
        <v>8</v>
      </c>
      <c r="G21" s="16" t="str">
        <f t="shared" si="1"/>
        <v/>
      </c>
      <c r="H21" s="17" t="str">
        <f t="shared" si="0"/>
        <v/>
      </c>
      <c r="I21" s="16">
        <v>17</v>
      </c>
      <c r="J21" s="17" t="str">
        <f t="shared" si="2"/>
        <v/>
      </c>
      <c r="L21" s="14" t="str">
        <f t="shared" si="3"/>
        <v/>
      </c>
    </row>
    <row r="22" spans="2:26" ht="14.4" customHeight="1" thickBot="1" x14ac:dyDescent="0.35">
      <c r="B22" s="11"/>
      <c r="G22" s="16" t="str">
        <f t="shared" si="1"/>
        <v/>
      </c>
      <c r="H22" s="17" t="str">
        <f t="shared" si="0"/>
        <v/>
      </c>
      <c r="I22" s="16">
        <v>18</v>
      </c>
      <c r="J22" s="17" t="str">
        <f t="shared" si="2"/>
        <v/>
      </c>
      <c r="L22" s="14" t="str">
        <f t="shared" si="3"/>
        <v/>
      </c>
    </row>
    <row r="23" spans="2:26" ht="14.4" customHeight="1" thickBot="1" x14ac:dyDescent="0.35">
      <c r="B23" s="28" t="s">
        <v>22</v>
      </c>
      <c r="C23" s="7">
        <f>(C20-C19)/C21</f>
        <v>0.375</v>
      </c>
      <c r="G23" s="16" t="str">
        <f t="shared" si="1"/>
        <v/>
      </c>
      <c r="H23" s="17" t="str">
        <f t="shared" si="0"/>
        <v/>
      </c>
      <c r="I23" s="16">
        <v>19</v>
      </c>
      <c r="J23" s="17" t="str">
        <f t="shared" si="2"/>
        <v/>
      </c>
      <c r="L23" s="14" t="str">
        <f t="shared" si="3"/>
        <v/>
      </c>
    </row>
    <row r="24" spans="2:26" ht="14.4" customHeight="1" thickBot="1" x14ac:dyDescent="0.35">
      <c r="B24" s="1"/>
      <c r="G24" s="16" t="str">
        <f t="shared" si="1"/>
        <v/>
      </c>
      <c r="H24" s="17" t="str">
        <f t="shared" si="0"/>
        <v/>
      </c>
      <c r="I24" s="16">
        <v>20</v>
      </c>
      <c r="J24" s="17" t="str">
        <f t="shared" si="2"/>
        <v/>
      </c>
      <c r="L24" s="14" t="str">
        <f t="shared" si="3"/>
        <v/>
      </c>
    </row>
    <row r="25" spans="2:26" ht="14.4" customHeight="1" thickBot="1" x14ac:dyDescent="0.35">
      <c r="B25" s="33" t="s">
        <v>16</v>
      </c>
      <c r="C25" s="12">
        <f>M4</f>
        <v>21</v>
      </c>
      <c r="G25" s="16" t="str">
        <f t="shared" si="1"/>
        <v/>
      </c>
      <c r="H25" s="17" t="str">
        <f t="shared" si="0"/>
        <v/>
      </c>
      <c r="I25" s="16">
        <v>21</v>
      </c>
      <c r="J25" s="17" t="str">
        <f t="shared" si="2"/>
        <v/>
      </c>
      <c r="L25" s="14" t="str">
        <f t="shared" si="3"/>
        <v/>
      </c>
    </row>
    <row r="26" spans="2:26" ht="14.4" customHeight="1" thickBot="1" x14ac:dyDescent="0.35">
      <c r="B26" s="33" t="s">
        <v>23</v>
      </c>
      <c r="C26" s="13" t="s">
        <v>9</v>
      </c>
      <c r="G26" s="16" t="str">
        <f t="shared" si="1"/>
        <v/>
      </c>
      <c r="H26" s="17" t="str">
        <f t="shared" si="0"/>
        <v/>
      </c>
      <c r="I26" s="16">
        <v>22</v>
      </c>
      <c r="J26" s="17" t="str">
        <f t="shared" si="2"/>
        <v/>
      </c>
      <c r="L26" s="14" t="str">
        <f t="shared" si="3"/>
        <v/>
      </c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6" ht="14.4" customHeight="1" x14ac:dyDescent="0.3">
      <c r="G27" s="16" t="str">
        <f t="shared" si="1"/>
        <v/>
      </c>
      <c r="H27" s="17" t="str">
        <f t="shared" si="0"/>
        <v/>
      </c>
      <c r="I27" s="16">
        <v>23</v>
      </c>
      <c r="J27" s="17" t="str">
        <f t="shared" si="2"/>
        <v/>
      </c>
      <c r="L27" s="14" t="str">
        <f t="shared" si="3"/>
        <v/>
      </c>
      <c r="O27" s="45" t="s">
        <v>27</v>
      </c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2:26" x14ac:dyDescent="0.3">
      <c r="G28" s="16" t="str">
        <f t="shared" si="1"/>
        <v/>
      </c>
      <c r="H28" s="17" t="str">
        <f t="shared" si="0"/>
        <v/>
      </c>
      <c r="I28" s="16">
        <v>24</v>
      </c>
      <c r="J28" s="17" t="str">
        <f t="shared" si="2"/>
        <v/>
      </c>
      <c r="L28" s="14" t="str">
        <f t="shared" si="3"/>
        <v/>
      </c>
    </row>
    <row r="29" spans="2:26" x14ac:dyDescent="0.3">
      <c r="G29" s="16" t="str">
        <f t="shared" si="1"/>
        <v/>
      </c>
      <c r="H29" s="17" t="str">
        <f t="shared" si="0"/>
        <v/>
      </c>
      <c r="I29" s="16">
        <v>25</v>
      </c>
      <c r="J29" s="17" t="str">
        <f t="shared" si="2"/>
        <v/>
      </c>
      <c r="L29" s="14" t="str">
        <f t="shared" si="3"/>
        <v/>
      </c>
    </row>
    <row r="30" spans="2:26" x14ac:dyDescent="0.3">
      <c r="G30" s="16" t="str">
        <f t="shared" si="1"/>
        <v/>
      </c>
      <c r="H30" s="17" t="str">
        <f t="shared" si="0"/>
        <v/>
      </c>
      <c r="I30" s="16">
        <v>26</v>
      </c>
      <c r="J30" s="17" t="str">
        <f t="shared" si="2"/>
        <v/>
      </c>
      <c r="L30" s="14" t="str">
        <f t="shared" si="3"/>
        <v/>
      </c>
    </row>
    <row r="31" spans="2:26" x14ac:dyDescent="0.3">
      <c r="G31" s="16" t="str">
        <f t="shared" si="1"/>
        <v/>
      </c>
      <c r="H31" s="17" t="str">
        <f t="shared" si="0"/>
        <v/>
      </c>
      <c r="I31" s="16">
        <v>27</v>
      </c>
      <c r="J31" s="17" t="str">
        <f t="shared" si="2"/>
        <v/>
      </c>
      <c r="L31" s="14" t="str">
        <f t="shared" si="3"/>
        <v/>
      </c>
    </row>
    <row r="32" spans="2:26" x14ac:dyDescent="0.3">
      <c r="G32" s="16" t="str">
        <f t="shared" si="1"/>
        <v/>
      </c>
      <c r="H32" s="17" t="str">
        <f t="shared" si="0"/>
        <v/>
      </c>
      <c r="I32" s="16">
        <v>28</v>
      </c>
      <c r="J32" s="17" t="str">
        <f t="shared" si="2"/>
        <v/>
      </c>
      <c r="L32" s="14" t="str">
        <f t="shared" si="3"/>
        <v/>
      </c>
    </row>
    <row r="33" spans="7:12" x14ac:dyDescent="0.3">
      <c r="G33" s="16" t="str">
        <f t="shared" si="1"/>
        <v/>
      </c>
      <c r="H33" s="17" t="str">
        <f t="shared" si="0"/>
        <v/>
      </c>
      <c r="I33" s="16">
        <v>29</v>
      </c>
      <c r="J33" s="17" t="str">
        <f t="shared" si="2"/>
        <v/>
      </c>
      <c r="L33" s="14" t="str">
        <f t="shared" si="3"/>
        <v/>
      </c>
    </row>
    <row r="34" spans="7:12" x14ac:dyDescent="0.3">
      <c r="G34" s="16" t="str">
        <f t="shared" si="1"/>
        <v/>
      </c>
      <c r="H34" s="17" t="str">
        <f t="shared" si="0"/>
        <v/>
      </c>
      <c r="I34" s="16">
        <v>30</v>
      </c>
      <c r="J34" s="17" t="str">
        <f t="shared" si="2"/>
        <v/>
      </c>
      <c r="L34" s="14" t="str">
        <f t="shared" si="3"/>
        <v/>
      </c>
    </row>
    <row r="35" spans="7:12" x14ac:dyDescent="0.3">
      <c r="G35" s="16" t="str">
        <f t="shared" si="1"/>
        <v/>
      </c>
      <c r="H35" s="17" t="str">
        <f t="shared" si="0"/>
        <v/>
      </c>
      <c r="I35" s="16">
        <v>31</v>
      </c>
      <c r="J35" s="17" t="str">
        <f t="shared" si="2"/>
        <v/>
      </c>
      <c r="L35" s="14" t="str">
        <f t="shared" si="3"/>
        <v/>
      </c>
    </row>
    <row r="36" spans="7:12" x14ac:dyDescent="0.3">
      <c r="G36" s="16" t="str">
        <f t="shared" si="1"/>
        <v/>
      </c>
      <c r="H36" s="17" t="str">
        <f t="shared" si="0"/>
        <v/>
      </c>
      <c r="I36" s="16">
        <v>32</v>
      </c>
      <c r="J36" s="17" t="str">
        <f t="shared" si="2"/>
        <v/>
      </c>
      <c r="L36" s="14" t="str">
        <f t="shared" si="3"/>
        <v/>
      </c>
    </row>
    <row r="37" spans="7:12" x14ac:dyDescent="0.3">
      <c r="G37" s="16" t="str">
        <f t="shared" si="1"/>
        <v/>
      </c>
      <c r="H37" s="17" t="str">
        <f t="shared" si="0"/>
        <v/>
      </c>
      <c r="I37" s="16">
        <v>33</v>
      </c>
      <c r="J37" s="17" t="str">
        <f t="shared" si="2"/>
        <v/>
      </c>
      <c r="L37" s="14" t="str">
        <f t="shared" si="3"/>
        <v/>
      </c>
    </row>
    <row r="38" spans="7:12" x14ac:dyDescent="0.3">
      <c r="G38" s="16" t="str">
        <f t="shared" si="1"/>
        <v/>
      </c>
      <c r="H38" s="17" t="str">
        <f t="shared" si="0"/>
        <v/>
      </c>
      <c r="I38" s="16">
        <v>34</v>
      </c>
      <c r="J38" s="17" t="str">
        <f t="shared" si="2"/>
        <v/>
      </c>
      <c r="L38" s="14" t="str">
        <f t="shared" si="3"/>
        <v/>
      </c>
    </row>
    <row r="39" spans="7:12" x14ac:dyDescent="0.3">
      <c r="G39" s="16" t="str">
        <f t="shared" si="1"/>
        <v/>
      </c>
      <c r="H39" s="17" t="str">
        <f t="shared" si="0"/>
        <v/>
      </c>
      <c r="I39" s="16">
        <v>35</v>
      </c>
      <c r="J39" s="17" t="str">
        <f t="shared" si="2"/>
        <v/>
      </c>
      <c r="L39" s="14" t="str">
        <f t="shared" si="3"/>
        <v/>
      </c>
    </row>
    <row r="40" spans="7:12" x14ac:dyDescent="0.3">
      <c r="G40" s="16" t="str">
        <f t="shared" si="1"/>
        <v/>
      </c>
      <c r="H40" s="17" t="str">
        <f t="shared" si="0"/>
        <v/>
      </c>
      <c r="I40" s="16">
        <v>36</v>
      </c>
      <c r="J40" s="17" t="str">
        <f t="shared" si="2"/>
        <v/>
      </c>
      <c r="L40" s="14" t="str">
        <f t="shared" ref="L40:L71" si="4">IF(MOD(I40,2)=1,"",IF(J40=2,$C$23/3*(J39*H39+J40*H40)+L38,IF(J40=1,$C$23/3*(J39*H39+J40*H40)+L38,"")))</f>
        <v/>
      </c>
    </row>
    <row r="41" spans="7:12" x14ac:dyDescent="0.3">
      <c r="G41" s="16" t="str">
        <f t="shared" si="1"/>
        <v/>
      </c>
      <c r="H41" s="17" t="str">
        <f t="shared" si="0"/>
        <v/>
      </c>
      <c r="I41" s="16">
        <v>37</v>
      </c>
      <c r="J41" s="17" t="str">
        <f t="shared" si="2"/>
        <v/>
      </c>
      <c r="L41" s="14" t="str">
        <f t="shared" si="4"/>
        <v/>
      </c>
    </row>
    <row r="42" spans="7:12" x14ac:dyDescent="0.3">
      <c r="G42" s="16" t="str">
        <f t="shared" si="1"/>
        <v/>
      </c>
      <c r="H42" s="17" t="str">
        <f t="shared" si="0"/>
        <v/>
      </c>
      <c r="I42" s="16">
        <v>38</v>
      </c>
      <c r="J42" s="17" t="str">
        <f t="shared" si="2"/>
        <v/>
      </c>
      <c r="L42" s="14" t="str">
        <f t="shared" si="4"/>
        <v/>
      </c>
    </row>
    <row r="43" spans="7:12" x14ac:dyDescent="0.3">
      <c r="G43" s="16" t="str">
        <f t="shared" si="1"/>
        <v/>
      </c>
      <c r="H43" s="17" t="str">
        <f t="shared" si="0"/>
        <v/>
      </c>
      <c r="I43" s="16">
        <v>39</v>
      </c>
      <c r="J43" s="17" t="str">
        <f t="shared" si="2"/>
        <v/>
      </c>
      <c r="L43" s="14" t="str">
        <f t="shared" si="4"/>
        <v/>
      </c>
    </row>
    <row r="44" spans="7:12" x14ac:dyDescent="0.3">
      <c r="G44" s="16" t="str">
        <f t="shared" si="1"/>
        <v/>
      </c>
      <c r="H44" s="17" t="str">
        <f t="shared" si="0"/>
        <v/>
      </c>
      <c r="I44" s="16">
        <v>40</v>
      </c>
      <c r="J44" s="17" t="str">
        <f t="shared" si="2"/>
        <v/>
      </c>
      <c r="L44" s="14" t="str">
        <f t="shared" si="4"/>
        <v/>
      </c>
    </row>
    <row r="45" spans="7:12" x14ac:dyDescent="0.3">
      <c r="G45" s="16" t="str">
        <f t="shared" si="1"/>
        <v/>
      </c>
      <c r="H45" s="17" t="str">
        <f t="shared" si="0"/>
        <v/>
      </c>
      <c r="I45" s="16">
        <v>41</v>
      </c>
      <c r="J45" s="17" t="str">
        <f t="shared" si="2"/>
        <v/>
      </c>
      <c r="L45" s="14" t="str">
        <f t="shared" si="4"/>
        <v/>
      </c>
    </row>
    <row r="46" spans="7:12" x14ac:dyDescent="0.3">
      <c r="G46" s="16" t="str">
        <f t="shared" si="1"/>
        <v/>
      </c>
      <c r="H46" s="17" t="str">
        <f t="shared" si="0"/>
        <v/>
      </c>
      <c r="I46" s="16">
        <v>42</v>
      </c>
      <c r="J46" s="17" t="str">
        <f t="shared" si="2"/>
        <v/>
      </c>
      <c r="L46" s="14" t="str">
        <f t="shared" si="4"/>
        <v/>
      </c>
    </row>
    <row r="47" spans="7:12" x14ac:dyDescent="0.3">
      <c r="G47" s="16" t="str">
        <f t="shared" si="1"/>
        <v/>
      </c>
      <c r="H47" s="17" t="str">
        <f t="shared" si="0"/>
        <v/>
      </c>
      <c r="I47" s="16">
        <v>43</v>
      </c>
      <c r="J47" s="17" t="str">
        <f t="shared" si="2"/>
        <v/>
      </c>
      <c r="L47" s="14" t="str">
        <f t="shared" si="4"/>
        <v/>
      </c>
    </row>
    <row r="48" spans="7:12" x14ac:dyDescent="0.3">
      <c r="G48" s="16" t="str">
        <f t="shared" si="1"/>
        <v/>
      </c>
      <c r="H48" s="17" t="str">
        <f t="shared" si="0"/>
        <v/>
      </c>
      <c r="I48" s="16">
        <v>44</v>
      </c>
      <c r="J48" s="17" t="str">
        <f t="shared" si="2"/>
        <v/>
      </c>
      <c r="L48" s="14" t="str">
        <f t="shared" si="4"/>
        <v/>
      </c>
    </row>
    <row r="49" spans="7:12" x14ac:dyDescent="0.3">
      <c r="G49" s="16" t="str">
        <f t="shared" si="1"/>
        <v/>
      </c>
      <c r="H49" s="17" t="str">
        <f t="shared" si="0"/>
        <v/>
      </c>
      <c r="I49" s="16">
        <v>45</v>
      </c>
      <c r="J49" s="17" t="str">
        <f t="shared" si="2"/>
        <v/>
      </c>
      <c r="L49" s="14" t="str">
        <f t="shared" si="4"/>
        <v/>
      </c>
    </row>
    <row r="50" spans="7:12" x14ac:dyDescent="0.3">
      <c r="G50" s="16" t="str">
        <f t="shared" si="1"/>
        <v/>
      </c>
      <c r="H50" s="17" t="str">
        <f t="shared" si="0"/>
        <v/>
      </c>
      <c r="I50" s="16">
        <v>46</v>
      </c>
      <c r="J50" s="17" t="str">
        <f t="shared" si="2"/>
        <v/>
      </c>
      <c r="L50" s="14" t="str">
        <f t="shared" si="4"/>
        <v/>
      </c>
    </row>
    <row r="51" spans="7:12" x14ac:dyDescent="0.3">
      <c r="G51" s="16" t="str">
        <f t="shared" si="1"/>
        <v/>
      </c>
      <c r="H51" s="17" t="str">
        <f t="shared" si="0"/>
        <v/>
      </c>
      <c r="I51" s="16">
        <v>47</v>
      </c>
      <c r="J51" s="17" t="str">
        <f t="shared" si="2"/>
        <v/>
      </c>
      <c r="L51" s="14" t="str">
        <f t="shared" si="4"/>
        <v/>
      </c>
    </row>
    <row r="52" spans="7:12" x14ac:dyDescent="0.3">
      <c r="G52" s="16" t="str">
        <f t="shared" si="1"/>
        <v/>
      </c>
      <c r="H52" s="17" t="str">
        <f t="shared" si="0"/>
        <v/>
      </c>
      <c r="I52" s="16">
        <v>48</v>
      </c>
      <c r="J52" s="17" t="str">
        <f t="shared" si="2"/>
        <v/>
      </c>
      <c r="L52" s="14" t="str">
        <f t="shared" si="4"/>
        <v/>
      </c>
    </row>
    <row r="53" spans="7:12" x14ac:dyDescent="0.3">
      <c r="G53" s="16" t="str">
        <f t="shared" si="1"/>
        <v/>
      </c>
      <c r="H53" s="17" t="str">
        <f t="shared" si="0"/>
        <v/>
      </c>
      <c r="I53" s="16">
        <v>49</v>
      </c>
      <c r="J53" s="17" t="str">
        <f t="shared" si="2"/>
        <v/>
      </c>
      <c r="L53" s="14" t="str">
        <f t="shared" si="4"/>
        <v/>
      </c>
    </row>
    <row r="54" spans="7:12" x14ac:dyDescent="0.3">
      <c r="G54" s="16" t="str">
        <f t="shared" si="1"/>
        <v/>
      </c>
      <c r="H54" s="17" t="str">
        <f t="shared" si="0"/>
        <v/>
      </c>
      <c r="I54" s="16">
        <v>50</v>
      </c>
      <c r="J54" s="17" t="str">
        <f t="shared" si="2"/>
        <v/>
      </c>
      <c r="L54" s="14" t="str">
        <f t="shared" si="4"/>
        <v/>
      </c>
    </row>
    <row r="55" spans="7:12" x14ac:dyDescent="0.3">
      <c r="G55" s="16" t="str">
        <f t="shared" si="1"/>
        <v/>
      </c>
      <c r="H55" s="17" t="str">
        <f t="shared" si="0"/>
        <v/>
      </c>
      <c r="I55" s="16">
        <v>51</v>
      </c>
      <c r="J55" s="17" t="str">
        <f t="shared" si="2"/>
        <v/>
      </c>
      <c r="L55" s="14" t="str">
        <f t="shared" si="4"/>
        <v/>
      </c>
    </row>
    <row r="56" spans="7:12" x14ac:dyDescent="0.3">
      <c r="G56" s="16" t="str">
        <f t="shared" si="1"/>
        <v/>
      </c>
      <c r="H56" s="17" t="str">
        <f t="shared" si="0"/>
        <v/>
      </c>
      <c r="I56" s="16">
        <v>52</v>
      </c>
      <c r="J56" s="17" t="str">
        <f t="shared" si="2"/>
        <v/>
      </c>
      <c r="L56" s="14" t="str">
        <f t="shared" si="4"/>
        <v/>
      </c>
    </row>
    <row r="57" spans="7:12" x14ac:dyDescent="0.3">
      <c r="G57" s="16" t="str">
        <f t="shared" si="1"/>
        <v/>
      </c>
      <c r="H57" s="17" t="str">
        <f t="shared" si="0"/>
        <v/>
      </c>
      <c r="I57" s="16">
        <v>53</v>
      </c>
      <c r="J57" s="17" t="str">
        <f t="shared" si="2"/>
        <v/>
      </c>
      <c r="L57" s="14" t="str">
        <f t="shared" si="4"/>
        <v/>
      </c>
    </row>
    <row r="58" spans="7:12" x14ac:dyDescent="0.3">
      <c r="G58" s="16" t="str">
        <f t="shared" si="1"/>
        <v/>
      </c>
      <c r="H58" s="17" t="str">
        <f t="shared" si="0"/>
        <v/>
      </c>
      <c r="I58" s="16">
        <v>54</v>
      </c>
      <c r="J58" s="17" t="str">
        <f t="shared" si="2"/>
        <v/>
      </c>
      <c r="L58" s="14" t="str">
        <f t="shared" si="4"/>
        <v/>
      </c>
    </row>
    <row r="59" spans="7:12" x14ac:dyDescent="0.3">
      <c r="G59" s="16" t="str">
        <f t="shared" si="1"/>
        <v/>
      </c>
      <c r="H59" s="17" t="str">
        <f t="shared" si="0"/>
        <v/>
      </c>
      <c r="I59" s="16">
        <v>55</v>
      </c>
      <c r="J59" s="17" t="str">
        <f t="shared" si="2"/>
        <v/>
      </c>
      <c r="L59" s="14" t="str">
        <f t="shared" si="4"/>
        <v/>
      </c>
    </row>
    <row r="60" spans="7:12" x14ac:dyDescent="0.3">
      <c r="G60" s="16" t="str">
        <f t="shared" si="1"/>
        <v/>
      </c>
      <c r="H60" s="17" t="str">
        <f t="shared" si="0"/>
        <v/>
      </c>
      <c r="I60" s="16">
        <v>56</v>
      </c>
      <c r="J60" s="17" t="str">
        <f t="shared" si="2"/>
        <v/>
      </c>
      <c r="L60" s="14" t="str">
        <f t="shared" si="4"/>
        <v/>
      </c>
    </row>
    <row r="61" spans="7:12" x14ac:dyDescent="0.3">
      <c r="G61" s="16" t="str">
        <f t="shared" si="1"/>
        <v/>
      </c>
      <c r="H61" s="17" t="str">
        <f t="shared" si="0"/>
        <v/>
      </c>
      <c r="I61" s="16">
        <v>57</v>
      </c>
      <c r="J61" s="17" t="str">
        <f t="shared" si="2"/>
        <v/>
      </c>
      <c r="L61" s="14" t="str">
        <f t="shared" si="4"/>
        <v/>
      </c>
    </row>
    <row r="62" spans="7:12" x14ac:dyDescent="0.3">
      <c r="G62" s="16" t="str">
        <f t="shared" si="1"/>
        <v/>
      </c>
      <c r="H62" s="17" t="str">
        <f t="shared" si="0"/>
        <v/>
      </c>
      <c r="I62" s="16">
        <v>58</v>
      </c>
      <c r="J62" s="17" t="str">
        <f t="shared" si="2"/>
        <v/>
      </c>
      <c r="L62" s="14" t="str">
        <f t="shared" si="4"/>
        <v/>
      </c>
    </row>
    <row r="63" spans="7:12" x14ac:dyDescent="0.3">
      <c r="G63" s="16" t="str">
        <f t="shared" si="1"/>
        <v/>
      </c>
      <c r="H63" s="17" t="str">
        <f t="shared" si="0"/>
        <v/>
      </c>
      <c r="I63" s="16">
        <v>59</v>
      </c>
      <c r="J63" s="17" t="str">
        <f t="shared" si="2"/>
        <v/>
      </c>
      <c r="L63" s="14" t="str">
        <f t="shared" si="4"/>
        <v/>
      </c>
    </row>
    <row r="64" spans="7:12" x14ac:dyDescent="0.3">
      <c r="G64" s="16" t="str">
        <f t="shared" si="1"/>
        <v/>
      </c>
      <c r="H64" s="17" t="str">
        <f t="shared" si="0"/>
        <v/>
      </c>
      <c r="I64" s="16">
        <v>60</v>
      </c>
      <c r="J64" s="17" t="str">
        <f t="shared" si="2"/>
        <v/>
      </c>
      <c r="L64" s="14" t="str">
        <f t="shared" si="4"/>
        <v/>
      </c>
    </row>
    <row r="65" spans="7:12" x14ac:dyDescent="0.3">
      <c r="G65" s="16" t="str">
        <f t="shared" si="1"/>
        <v/>
      </c>
      <c r="H65" s="17" t="str">
        <f t="shared" si="0"/>
        <v/>
      </c>
      <c r="I65" s="16">
        <v>61</v>
      </c>
      <c r="J65" s="17" t="str">
        <f t="shared" si="2"/>
        <v/>
      </c>
      <c r="L65" s="14" t="str">
        <f t="shared" si="4"/>
        <v/>
      </c>
    </row>
    <row r="66" spans="7:12" x14ac:dyDescent="0.3">
      <c r="G66" s="16" t="str">
        <f t="shared" si="1"/>
        <v/>
      </c>
      <c r="H66" s="17" t="str">
        <f t="shared" si="0"/>
        <v/>
      </c>
      <c r="I66" s="16">
        <v>62</v>
      </c>
      <c r="J66" s="17" t="str">
        <f t="shared" si="2"/>
        <v/>
      </c>
      <c r="L66" s="14" t="str">
        <f t="shared" si="4"/>
        <v/>
      </c>
    </row>
    <row r="67" spans="7:12" x14ac:dyDescent="0.3">
      <c r="G67" s="16" t="str">
        <f t="shared" si="1"/>
        <v/>
      </c>
      <c r="H67" s="17" t="str">
        <f t="shared" si="0"/>
        <v/>
      </c>
      <c r="I67" s="16">
        <v>63</v>
      </c>
      <c r="J67" s="17" t="str">
        <f t="shared" si="2"/>
        <v/>
      </c>
      <c r="L67" s="14" t="str">
        <f t="shared" si="4"/>
        <v/>
      </c>
    </row>
    <row r="68" spans="7:12" x14ac:dyDescent="0.3">
      <c r="G68" s="16" t="str">
        <f t="shared" si="1"/>
        <v/>
      </c>
      <c r="H68" s="17" t="str">
        <f t="shared" si="0"/>
        <v/>
      </c>
      <c r="I68" s="16">
        <v>64</v>
      </c>
      <c r="J68" s="17" t="str">
        <f t="shared" si="2"/>
        <v/>
      </c>
      <c r="L68" s="14" t="str">
        <f t="shared" si="4"/>
        <v/>
      </c>
    </row>
    <row r="69" spans="7:12" x14ac:dyDescent="0.3">
      <c r="G69" s="16" t="str">
        <f t="shared" si="1"/>
        <v/>
      </c>
      <c r="H69" s="17" t="str">
        <f t="shared" ref="H69:H104" si="5">IF(J69 = "", "", G69^2)</f>
        <v/>
      </c>
      <c r="I69" s="16">
        <v>65</v>
      </c>
      <c r="J69" s="17" t="str">
        <f t="shared" si="2"/>
        <v/>
      </c>
      <c r="L69" s="14" t="str">
        <f t="shared" si="4"/>
        <v/>
      </c>
    </row>
    <row r="70" spans="7:12" x14ac:dyDescent="0.3">
      <c r="G70" s="16" t="str">
        <f t="shared" ref="G70:G104" si="6">IF(J70="","",G69+($C$20-$C$19)/$C$21)</f>
        <v/>
      </c>
      <c r="H70" s="17" t="str">
        <f t="shared" si="5"/>
        <v/>
      </c>
      <c r="I70" s="16">
        <v>66</v>
      </c>
      <c r="J70" s="17" t="str">
        <f t="shared" si="2"/>
        <v/>
      </c>
      <c r="L70" s="14" t="str">
        <f t="shared" si="4"/>
        <v/>
      </c>
    </row>
    <row r="71" spans="7:12" x14ac:dyDescent="0.3">
      <c r="G71" s="16" t="str">
        <f t="shared" si="6"/>
        <v/>
      </c>
      <c r="H71" s="17" t="str">
        <f t="shared" si="5"/>
        <v/>
      </c>
      <c r="I71" s="16">
        <v>67</v>
      </c>
      <c r="J71" s="17" t="str">
        <f t="shared" ref="J71:J104" si="7">IF($C$21&gt;I71,IF(MOD(I71,2)=0,2,4),IF($C$21=I71,1,""))</f>
        <v/>
      </c>
      <c r="L71" s="14" t="str">
        <f t="shared" si="4"/>
        <v/>
      </c>
    </row>
    <row r="72" spans="7:12" x14ac:dyDescent="0.3">
      <c r="G72" s="16" t="str">
        <f t="shared" si="6"/>
        <v/>
      </c>
      <c r="H72" s="17" t="str">
        <f t="shared" si="5"/>
        <v/>
      </c>
      <c r="I72" s="16">
        <v>68</v>
      </c>
      <c r="J72" s="17" t="str">
        <f t="shared" si="7"/>
        <v/>
      </c>
      <c r="L72" s="14" t="str">
        <f t="shared" ref="L72:L103" si="8">IF(MOD(I72,2)=1,"",IF(J72=2,$C$23/3*(J71*H71+J72*H72)+L70,IF(J72=1,$C$23/3*(J71*H71+J72*H72)+L70,"")))</f>
        <v/>
      </c>
    </row>
    <row r="73" spans="7:12" x14ac:dyDescent="0.3">
      <c r="G73" s="16" t="str">
        <f t="shared" si="6"/>
        <v/>
      </c>
      <c r="H73" s="17" t="str">
        <f t="shared" si="5"/>
        <v/>
      </c>
      <c r="I73" s="16">
        <v>69</v>
      </c>
      <c r="J73" s="17" t="str">
        <f t="shared" si="7"/>
        <v/>
      </c>
      <c r="L73" s="14" t="str">
        <f t="shared" si="8"/>
        <v/>
      </c>
    </row>
    <row r="74" spans="7:12" x14ac:dyDescent="0.3">
      <c r="G74" s="16" t="str">
        <f t="shared" si="6"/>
        <v/>
      </c>
      <c r="H74" s="17" t="str">
        <f t="shared" si="5"/>
        <v/>
      </c>
      <c r="I74" s="16">
        <v>70</v>
      </c>
      <c r="J74" s="17" t="str">
        <f t="shared" si="7"/>
        <v/>
      </c>
      <c r="L74" s="14" t="str">
        <f t="shared" si="8"/>
        <v/>
      </c>
    </row>
    <row r="75" spans="7:12" x14ac:dyDescent="0.3">
      <c r="G75" s="16" t="str">
        <f t="shared" si="6"/>
        <v/>
      </c>
      <c r="H75" s="17" t="str">
        <f t="shared" si="5"/>
        <v/>
      </c>
      <c r="I75" s="16">
        <v>71</v>
      </c>
      <c r="J75" s="17" t="str">
        <f t="shared" si="7"/>
        <v/>
      </c>
      <c r="L75" s="14" t="str">
        <f t="shared" si="8"/>
        <v/>
      </c>
    </row>
    <row r="76" spans="7:12" x14ac:dyDescent="0.3">
      <c r="G76" s="16" t="str">
        <f t="shared" si="6"/>
        <v/>
      </c>
      <c r="H76" s="17" t="str">
        <f t="shared" si="5"/>
        <v/>
      </c>
      <c r="I76" s="16">
        <v>72</v>
      </c>
      <c r="J76" s="17" t="str">
        <f t="shared" si="7"/>
        <v/>
      </c>
      <c r="L76" s="14" t="str">
        <f t="shared" si="8"/>
        <v/>
      </c>
    </row>
    <row r="77" spans="7:12" x14ac:dyDescent="0.3">
      <c r="G77" s="16" t="str">
        <f t="shared" si="6"/>
        <v/>
      </c>
      <c r="H77" s="17" t="str">
        <f t="shared" si="5"/>
        <v/>
      </c>
      <c r="I77" s="16">
        <v>73</v>
      </c>
      <c r="J77" s="17" t="str">
        <f t="shared" si="7"/>
        <v/>
      </c>
      <c r="L77" s="14" t="str">
        <f t="shared" si="8"/>
        <v/>
      </c>
    </row>
    <row r="78" spans="7:12" x14ac:dyDescent="0.3">
      <c r="G78" s="16" t="str">
        <f t="shared" si="6"/>
        <v/>
      </c>
      <c r="H78" s="17" t="str">
        <f t="shared" si="5"/>
        <v/>
      </c>
      <c r="I78" s="16">
        <v>74</v>
      </c>
      <c r="J78" s="17" t="str">
        <f t="shared" si="7"/>
        <v/>
      </c>
      <c r="L78" s="14" t="str">
        <f t="shared" si="8"/>
        <v/>
      </c>
    </row>
    <row r="79" spans="7:12" x14ac:dyDescent="0.3">
      <c r="G79" s="16" t="str">
        <f t="shared" si="6"/>
        <v/>
      </c>
      <c r="H79" s="17" t="str">
        <f t="shared" si="5"/>
        <v/>
      </c>
      <c r="I79" s="16">
        <v>75</v>
      </c>
      <c r="J79" s="17" t="str">
        <f t="shared" si="7"/>
        <v/>
      </c>
      <c r="L79" s="14" t="str">
        <f t="shared" si="8"/>
        <v/>
      </c>
    </row>
    <row r="80" spans="7:12" x14ac:dyDescent="0.3">
      <c r="G80" s="16" t="str">
        <f t="shared" si="6"/>
        <v/>
      </c>
      <c r="H80" s="17" t="str">
        <f t="shared" si="5"/>
        <v/>
      </c>
      <c r="I80" s="16">
        <v>76</v>
      </c>
      <c r="J80" s="17" t="str">
        <f t="shared" si="7"/>
        <v/>
      </c>
      <c r="L80" s="14" t="str">
        <f t="shared" si="8"/>
        <v/>
      </c>
    </row>
    <row r="81" spans="7:12" x14ac:dyDescent="0.3">
      <c r="G81" s="16" t="str">
        <f t="shared" si="6"/>
        <v/>
      </c>
      <c r="H81" s="17" t="str">
        <f t="shared" si="5"/>
        <v/>
      </c>
      <c r="I81" s="16">
        <v>77</v>
      </c>
      <c r="J81" s="17" t="str">
        <f t="shared" si="7"/>
        <v/>
      </c>
      <c r="L81" s="14" t="str">
        <f t="shared" si="8"/>
        <v/>
      </c>
    </row>
    <row r="82" spans="7:12" x14ac:dyDescent="0.3">
      <c r="G82" s="16" t="str">
        <f t="shared" si="6"/>
        <v/>
      </c>
      <c r="H82" s="17" t="str">
        <f t="shared" si="5"/>
        <v/>
      </c>
      <c r="I82" s="16">
        <v>78</v>
      </c>
      <c r="J82" s="17" t="str">
        <f t="shared" si="7"/>
        <v/>
      </c>
      <c r="L82" s="14" t="str">
        <f t="shared" si="8"/>
        <v/>
      </c>
    </row>
    <row r="83" spans="7:12" x14ac:dyDescent="0.3">
      <c r="G83" s="16" t="str">
        <f t="shared" si="6"/>
        <v/>
      </c>
      <c r="H83" s="17" t="str">
        <f t="shared" si="5"/>
        <v/>
      </c>
      <c r="I83" s="16">
        <v>79</v>
      </c>
      <c r="J83" s="17" t="str">
        <f t="shared" si="7"/>
        <v/>
      </c>
      <c r="L83" s="14" t="str">
        <f t="shared" si="8"/>
        <v/>
      </c>
    </row>
    <row r="84" spans="7:12" x14ac:dyDescent="0.3">
      <c r="G84" s="16" t="str">
        <f t="shared" si="6"/>
        <v/>
      </c>
      <c r="H84" s="17" t="str">
        <f t="shared" si="5"/>
        <v/>
      </c>
      <c r="I84" s="16">
        <v>80</v>
      </c>
      <c r="J84" s="17" t="str">
        <f t="shared" si="7"/>
        <v/>
      </c>
      <c r="L84" s="14" t="str">
        <f t="shared" si="8"/>
        <v/>
      </c>
    </row>
    <row r="85" spans="7:12" x14ac:dyDescent="0.3">
      <c r="G85" s="16" t="str">
        <f t="shared" si="6"/>
        <v/>
      </c>
      <c r="H85" s="17" t="str">
        <f t="shared" si="5"/>
        <v/>
      </c>
      <c r="I85" s="16">
        <v>81</v>
      </c>
      <c r="J85" s="17" t="str">
        <f t="shared" si="7"/>
        <v/>
      </c>
      <c r="L85" s="14" t="str">
        <f t="shared" si="8"/>
        <v/>
      </c>
    </row>
    <row r="86" spans="7:12" x14ac:dyDescent="0.3">
      <c r="G86" s="16" t="str">
        <f t="shared" si="6"/>
        <v/>
      </c>
      <c r="H86" s="17" t="str">
        <f t="shared" si="5"/>
        <v/>
      </c>
      <c r="I86" s="16">
        <v>82</v>
      </c>
      <c r="J86" s="17" t="str">
        <f t="shared" si="7"/>
        <v/>
      </c>
      <c r="L86" s="14" t="str">
        <f t="shared" si="8"/>
        <v/>
      </c>
    </row>
    <row r="87" spans="7:12" x14ac:dyDescent="0.3">
      <c r="G87" s="16" t="str">
        <f t="shared" si="6"/>
        <v/>
      </c>
      <c r="H87" s="17" t="str">
        <f t="shared" si="5"/>
        <v/>
      </c>
      <c r="I87" s="16">
        <v>83</v>
      </c>
      <c r="J87" s="17" t="str">
        <f t="shared" si="7"/>
        <v/>
      </c>
      <c r="L87" s="14" t="str">
        <f t="shared" si="8"/>
        <v/>
      </c>
    </row>
    <row r="88" spans="7:12" x14ac:dyDescent="0.3">
      <c r="G88" s="16" t="str">
        <f t="shared" si="6"/>
        <v/>
      </c>
      <c r="H88" s="17" t="str">
        <f t="shared" si="5"/>
        <v/>
      </c>
      <c r="I88" s="16">
        <v>84</v>
      </c>
      <c r="J88" s="17" t="str">
        <f t="shared" si="7"/>
        <v/>
      </c>
      <c r="L88" s="14" t="str">
        <f t="shared" si="8"/>
        <v/>
      </c>
    </row>
    <row r="89" spans="7:12" x14ac:dyDescent="0.3">
      <c r="G89" s="16" t="str">
        <f t="shared" si="6"/>
        <v/>
      </c>
      <c r="H89" s="17" t="str">
        <f t="shared" si="5"/>
        <v/>
      </c>
      <c r="I89" s="16">
        <v>85</v>
      </c>
      <c r="J89" s="17" t="str">
        <f t="shared" si="7"/>
        <v/>
      </c>
      <c r="L89" s="14" t="str">
        <f t="shared" si="8"/>
        <v/>
      </c>
    </row>
    <row r="90" spans="7:12" x14ac:dyDescent="0.3">
      <c r="G90" s="16" t="str">
        <f t="shared" si="6"/>
        <v/>
      </c>
      <c r="H90" s="17" t="str">
        <f t="shared" si="5"/>
        <v/>
      </c>
      <c r="I90" s="16">
        <v>86</v>
      </c>
      <c r="J90" s="17" t="str">
        <f t="shared" si="7"/>
        <v/>
      </c>
      <c r="L90" s="14" t="str">
        <f t="shared" si="8"/>
        <v/>
      </c>
    </row>
    <row r="91" spans="7:12" x14ac:dyDescent="0.3">
      <c r="G91" s="16" t="str">
        <f t="shared" si="6"/>
        <v/>
      </c>
      <c r="H91" s="17" t="str">
        <f t="shared" si="5"/>
        <v/>
      </c>
      <c r="I91" s="16">
        <v>87</v>
      </c>
      <c r="J91" s="17" t="str">
        <f t="shared" si="7"/>
        <v/>
      </c>
      <c r="L91" s="14" t="str">
        <f t="shared" si="8"/>
        <v/>
      </c>
    </row>
    <row r="92" spans="7:12" x14ac:dyDescent="0.3">
      <c r="G92" s="16" t="str">
        <f t="shared" si="6"/>
        <v/>
      </c>
      <c r="H92" s="17" t="str">
        <f t="shared" si="5"/>
        <v/>
      </c>
      <c r="I92" s="16">
        <v>88</v>
      </c>
      <c r="J92" s="17" t="str">
        <f t="shared" si="7"/>
        <v/>
      </c>
      <c r="L92" s="14" t="str">
        <f t="shared" si="8"/>
        <v/>
      </c>
    </row>
    <row r="93" spans="7:12" x14ac:dyDescent="0.3">
      <c r="G93" s="16" t="str">
        <f t="shared" si="6"/>
        <v/>
      </c>
      <c r="H93" s="17" t="str">
        <f t="shared" si="5"/>
        <v/>
      </c>
      <c r="I93" s="16">
        <v>89</v>
      </c>
      <c r="J93" s="17" t="str">
        <f t="shared" si="7"/>
        <v/>
      </c>
      <c r="L93" s="14" t="str">
        <f t="shared" si="8"/>
        <v/>
      </c>
    </row>
    <row r="94" spans="7:12" x14ac:dyDescent="0.3">
      <c r="G94" s="16" t="str">
        <f t="shared" si="6"/>
        <v/>
      </c>
      <c r="H94" s="17" t="str">
        <f t="shared" si="5"/>
        <v/>
      </c>
      <c r="I94" s="16">
        <v>90</v>
      </c>
      <c r="J94" s="17" t="str">
        <f t="shared" si="7"/>
        <v/>
      </c>
      <c r="L94" s="14" t="str">
        <f t="shared" si="8"/>
        <v/>
      </c>
    </row>
    <row r="95" spans="7:12" x14ac:dyDescent="0.3">
      <c r="G95" s="16" t="str">
        <f t="shared" si="6"/>
        <v/>
      </c>
      <c r="H95" s="17" t="str">
        <f t="shared" si="5"/>
        <v/>
      </c>
      <c r="I95" s="16">
        <v>91</v>
      </c>
      <c r="J95" s="17" t="str">
        <f t="shared" si="7"/>
        <v/>
      </c>
      <c r="L95" s="14" t="str">
        <f t="shared" si="8"/>
        <v/>
      </c>
    </row>
    <row r="96" spans="7:12" x14ac:dyDescent="0.3">
      <c r="G96" s="16" t="str">
        <f t="shared" si="6"/>
        <v/>
      </c>
      <c r="H96" s="17" t="str">
        <f t="shared" si="5"/>
        <v/>
      </c>
      <c r="I96" s="16">
        <v>92</v>
      </c>
      <c r="J96" s="17" t="str">
        <f t="shared" si="7"/>
        <v/>
      </c>
      <c r="L96" s="14" t="str">
        <f t="shared" si="8"/>
        <v/>
      </c>
    </row>
    <row r="97" spans="7:12" x14ac:dyDescent="0.3">
      <c r="G97" s="16" t="str">
        <f t="shared" si="6"/>
        <v/>
      </c>
      <c r="H97" s="17" t="str">
        <f t="shared" si="5"/>
        <v/>
      </c>
      <c r="I97" s="16">
        <v>93</v>
      </c>
      <c r="J97" s="17" t="str">
        <f t="shared" si="7"/>
        <v/>
      </c>
      <c r="L97" s="14" t="str">
        <f t="shared" si="8"/>
        <v/>
      </c>
    </row>
    <row r="98" spans="7:12" x14ac:dyDescent="0.3">
      <c r="G98" s="16" t="str">
        <f t="shared" si="6"/>
        <v/>
      </c>
      <c r="H98" s="17" t="str">
        <f t="shared" si="5"/>
        <v/>
      </c>
      <c r="I98" s="16">
        <v>94</v>
      </c>
      <c r="J98" s="17" t="str">
        <f t="shared" si="7"/>
        <v/>
      </c>
      <c r="L98" s="14" t="str">
        <f t="shared" si="8"/>
        <v/>
      </c>
    </row>
    <row r="99" spans="7:12" x14ac:dyDescent="0.3">
      <c r="G99" s="16" t="str">
        <f t="shared" si="6"/>
        <v/>
      </c>
      <c r="H99" s="17" t="str">
        <f t="shared" si="5"/>
        <v/>
      </c>
      <c r="I99" s="16">
        <v>95</v>
      </c>
      <c r="J99" s="17" t="str">
        <f t="shared" si="7"/>
        <v/>
      </c>
      <c r="L99" s="14" t="str">
        <f t="shared" si="8"/>
        <v/>
      </c>
    </row>
    <row r="100" spans="7:12" x14ac:dyDescent="0.3">
      <c r="G100" s="16" t="str">
        <f t="shared" si="6"/>
        <v/>
      </c>
      <c r="H100" s="17" t="str">
        <f t="shared" si="5"/>
        <v/>
      </c>
      <c r="I100" s="16">
        <v>96</v>
      </c>
      <c r="J100" s="17" t="str">
        <f t="shared" si="7"/>
        <v/>
      </c>
      <c r="L100" s="14" t="str">
        <f t="shared" si="8"/>
        <v/>
      </c>
    </row>
    <row r="101" spans="7:12" x14ac:dyDescent="0.3">
      <c r="G101" s="16" t="str">
        <f t="shared" si="6"/>
        <v/>
      </c>
      <c r="H101" s="17" t="str">
        <f t="shared" si="5"/>
        <v/>
      </c>
      <c r="I101" s="16">
        <v>97</v>
      </c>
      <c r="J101" s="17" t="str">
        <f t="shared" si="7"/>
        <v/>
      </c>
      <c r="L101" s="14" t="str">
        <f t="shared" si="8"/>
        <v/>
      </c>
    </row>
    <row r="102" spans="7:12" x14ac:dyDescent="0.3">
      <c r="G102" s="16" t="str">
        <f t="shared" si="6"/>
        <v/>
      </c>
      <c r="H102" s="17" t="str">
        <f t="shared" si="5"/>
        <v/>
      </c>
      <c r="I102" s="16">
        <v>98</v>
      </c>
      <c r="J102" s="17" t="str">
        <f t="shared" si="7"/>
        <v/>
      </c>
      <c r="L102" s="14" t="str">
        <f t="shared" si="8"/>
        <v/>
      </c>
    </row>
    <row r="103" spans="7:12" x14ac:dyDescent="0.3">
      <c r="G103" s="16" t="str">
        <f t="shared" si="6"/>
        <v/>
      </c>
      <c r="H103" s="17" t="str">
        <f t="shared" si="5"/>
        <v/>
      </c>
      <c r="I103" s="16">
        <v>99</v>
      </c>
      <c r="J103" s="17" t="str">
        <f t="shared" si="7"/>
        <v/>
      </c>
      <c r="L103" s="14" t="str">
        <f t="shared" si="8"/>
        <v/>
      </c>
    </row>
    <row r="104" spans="7:12" x14ac:dyDescent="0.3">
      <c r="G104" s="18" t="str">
        <f t="shared" si="6"/>
        <v/>
      </c>
      <c r="H104" s="17" t="str">
        <f t="shared" si="5"/>
        <v/>
      </c>
      <c r="I104" s="18">
        <v>100</v>
      </c>
      <c r="J104" s="19" t="str">
        <f t="shared" si="7"/>
        <v/>
      </c>
      <c r="L104" s="15" t="str">
        <f t="shared" ref="L104" si="9">IF(MOD(I104,2)=1,"",IF(J104=2,$C$23/3*(J103*H103+J104*H104)+L102,IF(J104=1,$C$23/3*(J103*H103+J104*H104)+L102,"")))</f>
        <v/>
      </c>
    </row>
  </sheetData>
  <mergeCells count="5">
    <mergeCell ref="G2:H2"/>
    <mergeCell ref="L2:M2"/>
    <mergeCell ref="I2:J2"/>
    <mergeCell ref="O26:X26"/>
    <mergeCell ref="O27:Z27"/>
  </mergeCells>
  <phoneticPr fontId="5" type="noConversion"/>
  <dataValidations count="1">
    <dataValidation type="custom" operator="notEqual" allowBlank="1" showInputMessage="1" showErrorMessage="1" errorTitle="Wrong Input!" error="Please check for the following:_x000a__x000a_1) n-value is between 2 and 100_x000a_2) n-value is an even entry." sqref="C21" xr:uid="{F4C6AD4B-DBC0-4185-AFA6-02305739BCBA}">
      <formula1>AND(C21&lt;=100, C21&gt;= 2,MOD(C21,2)=0)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Reimann Sums</vt:lpstr>
      <vt:lpstr>Trapezoidal Rule</vt:lpstr>
      <vt:lpstr>Simpson's 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2020-07-21T10:34:12Z</dcterms:created>
  <dcterms:modified xsi:type="dcterms:W3CDTF">2021-05-05T06:00:15Z</dcterms:modified>
</cp:coreProperties>
</file>