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Desktop\Excel Templates\Mathematics\"/>
    </mc:Choice>
  </mc:AlternateContent>
  <xr:revisionPtr revIDLastSave="0" documentId="13_ncr:1_{07E73A97-5995-4D84-9B88-D8A122C3F2F8}" xr6:coauthVersionLast="47" xr6:coauthVersionMax="47" xr10:uidLastSave="{00000000-0000-0000-0000-000000000000}"/>
  <bookViews>
    <workbookView xWindow="1500" yWindow="1500" windowWidth="12756" windowHeight="8964" xr2:uid="{6C1BEA09-70BC-40E4-8CD5-A8614B5AE131}"/>
  </bookViews>
  <sheets>
    <sheet name="Limits Checker" sheetId="1" r:id="rId1"/>
  </sheets>
  <definedNames>
    <definedName name="x">'Limits Checker'!$H$3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/>
  <c r="H8" i="1" s="1"/>
  <c r="I8" i="1" s="1"/>
  <c r="J36" i="1" l="1"/>
  <c r="K26" i="1" l="1"/>
  <c r="K25" i="1"/>
  <c r="K24" i="1"/>
  <c r="K23" i="1"/>
  <c r="K22" i="1"/>
  <c r="H5" i="1" l="1"/>
  <c r="I5" i="1" s="1"/>
  <c r="H3" i="1"/>
  <c r="I3" i="1" s="1"/>
  <c r="H4" i="1"/>
  <c r="I4" i="1" s="1"/>
  <c r="H7" i="1"/>
  <c r="I7" i="1" s="1"/>
  <c r="H10" i="1"/>
  <c r="I10" i="1" s="1"/>
  <c r="H12" i="1"/>
  <c r="I12" i="1" s="1"/>
  <c r="H9" i="1"/>
  <c r="I9" i="1" s="1"/>
  <c r="H11" i="1"/>
  <c r="I11" i="1" s="1"/>
  <c r="H13" i="1"/>
  <c r="I13" i="1" s="1"/>
  <c r="H6" i="1"/>
  <c r="I6" i="1" s="1"/>
  <c r="H18" i="1"/>
  <c r="H14" i="1"/>
  <c r="H16" i="1"/>
  <c r="H17" i="1"/>
  <c r="H15" i="1"/>
  <c r="A31" i="1" l="1"/>
  <c r="A36" i="1"/>
  <c r="A33" i="1"/>
  <c r="A32" i="1"/>
  <c r="A29" i="1"/>
  <c r="A30" i="1"/>
  <c r="A34" i="1"/>
  <c r="I21" i="1"/>
  <c r="A35" i="1"/>
  <c r="A37" i="1" l="1"/>
  <c r="I23" i="1" s="1"/>
</calcChain>
</file>

<file path=xl/sharedStrings.xml><?xml version="1.0" encoding="utf-8"?>
<sst xmlns="http://schemas.openxmlformats.org/spreadsheetml/2006/main" count="37" uniqueCount="35">
  <si>
    <t>Parameters</t>
  </si>
  <si>
    <t>Limit Point</t>
  </si>
  <si>
    <t>a</t>
  </si>
  <si>
    <t>Initial Value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</si>
  <si>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</si>
  <si>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t>Initial Difference</t>
  </si>
  <si>
    <t>d</t>
  </si>
  <si>
    <t>Scale Factor</t>
  </si>
  <si>
    <t>λ</t>
  </si>
  <si>
    <t/>
  </si>
  <si>
    <t>x=a+d*λn</t>
  </si>
  <si>
    <r>
      <t>Fill in green slots of "a", "x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", "λ".</t>
    </r>
  </si>
  <si>
    <t>Step 2:</t>
  </si>
  <si>
    <t>Step 1:</t>
  </si>
  <si>
    <t xml:space="preserve">Step 3: </t>
  </si>
  <si>
    <t>Step 4:</t>
  </si>
  <si>
    <t xml:space="preserve"> </t>
  </si>
  <si>
    <t>Initial Value:</t>
  </si>
  <si>
    <t>Initial Difference:</t>
  </si>
  <si>
    <t>(Fixed). Value of difference between Initial Value and Limit Point.</t>
  </si>
  <si>
    <t>Generally any value small and close to 0.1</t>
  </si>
  <si>
    <t>What parameters to put?</t>
  </si>
  <si>
    <r>
      <t>How to use this sheet?</t>
    </r>
    <r>
      <rPr>
        <sz val="8"/>
        <color theme="1"/>
        <rFont val="Calibri"/>
        <family val="2"/>
        <scheme val="minor"/>
      </rPr>
      <t xml:space="preserve"> (enable macros)</t>
    </r>
  </si>
  <si>
    <t>n</t>
  </si>
  <si>
    <t>Possible Limit</t>
  </si>
  <si>
    <t>F(x)</t>
  </si>
  <si>
    <t>Limit Point:</t>
  </si>
  <si>
    <t>The number where x is tending towards.</t>
  </si>
  <si>
    <t>Generally any value close to Limit Point.</t>
  </si>
  <si>
    <t>Click "Clear Function" to redo with another function.</t>
  </si>
  <si>
    <t>Click "Expand Function" to list values of F(x) with increasing n.</t>
  </si>
  <si>
    <t>=SIN(x)</t>
  </si>
  <si>
    <t>Fill in green slot of "F(x)", with "x" variable inside.</t>
  </si>
  <si>
    <t>(sheet is expandable until n=10)</t>
  </si>
  <si>
    <r>
      <t xml:space="preserve">    </t>
    </r>
    <r>
      <rPr>
        <i/>
        <sz val="11"/>
        <color theme="1"/>
        <rFont val="Calibri"/>
        <family val="2"/>
        <scheme val="minor"/>
      </rPr>
      <t>Where x is cell H3.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</si>
</sst>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quotePrefix="1" applyProtection="1"/>
    <xf numFmtId="0" fontId="0" fillId="0" borderId="0" xfId="0" quotePrefix="1" applyAlignment="1" applyProtection="1"/>
    <xf numFmtId="0" fontId="0" fillId="0" borderId="0" xfId="0" applyAlignment="1" applyProtection="1"/>
    <xf numFmtId="0" fontId="0" fillId="0" borderId="0" xfId="0" applyProtection="1"/>
    <xf numFmtId="0" fontId="1" fillId="0" borderId="0" xfId="0" applyFont="1" applyProtection="1"/>
    <xf numFmtId="0" fontId="0" fillId="3" borderId="1" xfId="0" applyFill="1" applyBorder="1" applyAlignment="1" applyProtection="1">
      <alignment horizontal="center" vertical="center"/>
    </xf>
    <xf numFmtId="0" fontId="0" fillId="0" borderId="3" xfId="0" applyBorder="1" applyProtection="1"/>
    <xf numFmtId="0" fontId="0" fillId="0" borderId="1" xfId="0" applyBorder="1" applyAlignment="1" applyProtection="1">
      <alignment horizontal="center"/>
    </xf>
    <xf numFmtId="0" fontId="0" fillId="0" borderId="9" xfId="0" applyBorder="1" applyProtection="1"/>
    <xf numFmtId="49" fontId="1" fillId="2" borderId="8" xfId="0" quotePrefix="1" applyNumberFormat="1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3" fillId="0" borderId="1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4" fillId="2" borderId="7" xfId="0" quotePrefix="1" applyFont="1" applyFill="1" applyBorder="1" applyAlignment="1" applyProtection="1">
      <alignment horizontal="center"/>
    </xf>
    <xf numFmtId="0" fontId="6" fillId="0" borderId="0" xfId="0" applyFont="1" applyProtection="1"/>
    <xf numFmtId="0" fontId="8" fillId="0" borderId="0" xfId="0" applyFont="1" applyProtection="1"/>
    <xf numFmtId="0" fontId="4" fillId="2" borderId="2" xfId="0" quotePrefix="1" applyFont="1" applyFill="1" applyBorder="1" applyAlignment="1" applyProtection="1">
      <alignment horizontal="center"/>
    </xf>
    <xf numFmtId="0" fontId="0" fillId="0" borderId="11" xfId="0" applyBorder="1" applyProtection="1"/>
    <xf numFmtId="0" fontId="1" fillId="3" borderId="3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1" fillId="2" borderId="2" xfId="0" quotePrefix="1" applyFont="1" applyFill="1" applyBorder="1" applyAlignment="1" applyProtection="1">
      <alignment horizontal="center"/>
    </xf>
    <xf numFmtId="0" fontId="0" fillId="0" borderId="0" xfId="0" applyNumberFormat="1" applyProtection="1"/>
    <xf numFmtId="0" fontId="1" fillId="3" borderId="3" xfId="0" applyFont="1" applyFill="1" applyBorder="1" applyProtection="1"/>
    <xf numFmtId="0" fontId="1" fillId="3" borderId="1" xfId="0" applyFont="1" applyFill="1" applyBorder="1" applyProtection="1"/>
    <xf numFmtId="0" fontId="0" fillId="3" borderId="1" xfId="0" applyFill="1" applyBorder="1" applyProtection="1"/>
    <xf numFmtId="164" fontId="0" fillId="0" borderId="11" xfId="0" applyNumberFormat="1" applyBorder="1" applyProtection="1"/>
    <xf numFmtId="0" fontId="0" fillId="0" borderId="0" xfId="0" applyAlignment="1" applyProtection="1">
      <alignment horizontal="center"/>
    </xf>
    <xf numFmtId="0" fontId="5" fillId="4" borderId="4" xfId="0" quotePrefix="1" applyFont="1" applyFill="1" applyBorder="1" applyAlignment="1" applyProtection="1">
      <alignment horizontal="center"/>
    </xf>
    <xf numFmtId="0" fontId="5" fillId="4" borderId="5" xfId="0" applyFont="1" applyFill="1" applyBorder="1" applyAlignment="1" applyProtection="1">
      <alignment horizontal="center"/>
    </xf>
    <xf numFmtId="0" fontId="5" fillId="4" borderId="6" xfId="0" applyFont="1" applyFill="1" applyBorder="1" applyAlignment="1" applyProtection="1">
      <alignment horizontal="center"/>
    </xf>
    <xf numFmtId="0" fontId="0" fillId="5" borderId="10" xfId="0" quotePrefix="1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2" borderId="7" xfId="0" applyFont="1" applyFill="1" applyBorder="1" applyAlignment="1" applyProtection="1">
      <alignment horizontal="center"/>
    </xf>
    <xf numFmtId="0" fontId="4" fillId="2" borderId="8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4" fillId="2" borderId="7" xfId="0" applyFont="1" applyFill="1" applyBorder="1" applyAlignment="1" applyProtection="1">
      <alignment horizontal="center" vertical="center"/>
    </xf>
    <xf numFmtId="0" fontId="4" fillId="2" borderId="8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center"/>
    </xf>
  </cellXfs>
  <cellStyles count="1">
    <cellStyle name="Normal" xfId="0" builtinId="0"/>
  </cellStyles>
  <dxfs count="3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C7CE"/>
        </patternFill>
      </fill>
    </dxf>
    <dxf>
      <fill>
        <patternFill>
          <bgColor rgb="FFF9FBFD"/>
        </patternFill>
      </fill>
    </dxf>
  </dxfs>
  <tableStyles count="0" defaultTableStyle="TableStyleMedium2" defaultPivotStyle="PivotStyleLight16"/>
  <colors>
    <mruColors>
      <color rgb="FFFFC7CE"/>
      <color rgb="FFFFFFFF"/>
      <color rgb="FFC6EFCE"/>
      <color rgb="FFB0DD7F"/>
      <color rgb="FFF9FB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6</xdr:row>
      <xdr:rowOff>22860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971800" y="11353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SG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7</xdr:row>
          <xdr:rowOff>152400</xdr:rowOff>
        </xdr:from>
        <xdr:to>
          <xdr:col>12</xdr:col>
          <xdr:colOff>15240</xdr:colOff>
          <xdr:row>9</xdr:row>
          <xdr:rowOff>167640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Function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175260</xdr:rowOff>
        </xdr:from>
        <xdr:to>
          <xdr:col>12</xdr:col>
          <xdr:colOff>0</xdr:colOff>
          <xdr:row>13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27C1D-9E83-4BC0-9F2B-4C4BEA5F0914}">
  <sheetPr codeName="Sheet1"/>
  <dimension ref="A1:O37"/>
  <sheetViews>
    <sheetView tabSelected="1" workbookViewId="0"/>
  </sheetViews>
  <sheetFormatPr defaultRowHeight="14.4" x14ac:dyDescent="0.3"/>
  <cols>
    <col min="1" max="1" width="14.6640625" style="4" bestFit="1" customWidth="1"/>
    <col min="2" max="2" width="6.77734375" style="4" customWidth="1"/>
    <col min="3" max="3" width="8.88671875" style="4"/>
    <col min="4" max="5" width="0" style="4" hidden="1" customWidth="1"/>
    <col min="6" max="6" width="8.88671875" style="4"/>
    <col min="7" max="7" width="6.5546875" style="4" customWidth="1"/>
    <col min="8" max="8" width="16" style="4" customWidth="1"/>
    <col min="9" max="9" width="11.21875" style="4" customWidth="1"/>
    <col min="10" max="10" width="23.88671875" style="4" customWidth="1"/>
    <col min="11" max="13" width="8.88671875" style="4"/>
    <col min="14" max="14" width="15.21875" style="4" bestFit="1" customWidth="1"/>
    <col min="15" max="15" width="54.77734375" style="4" bestFit="1" customWidth="1"/>
    <col min="16" max="16384" width="8.88671875" style="4"/>
  </cols>
  <sheetData>
    <row r="1" spans="1:15" ht="15" thickBot="1" x14ac:dyDescent="0.35">
      <c r="O1" s="16" t="s">
        <v>33</v>
      </c>
    </row>
    <row r="2" spans="1:15" ht="21.6" thickBot="1" x14ac:dyDescent="0.45">
      <c r="A2" s="29" t="s">
        <v>0</v>
      </c>
      <c r="B2" s="30"/>
      <c r="C2" s="31"/>
      <c r="D2"/>
      <c r="E2"/>
      <c r="F2" s="1" t="s">
        <v>9</v>
      </c>
      <c r="G2" s="17" t="s">
        <v>23</v>
      </c>
      <c r="H2" s="14" t="s">
        <v>10</v>
      </c>
      <c r="I2" s="22" t="s">
        <v>25</v>
      </c>
      <c r="J2" s="10" t="s">
        <v>31</v>
      </c>
      <c r="K2" s="2"/>
      <c r="L2" s="3"/>
    </row>
    <row r="3" spans="1:15" x14ac:dyDescent="0.3">
      <c r="A3" s="24" t="s">
        <v>1</v>
      </c>
      <c r="B3" s="13" t="s">
        <v>2</v>
      </c>
      <c r="C3" s="11">
        <v>2</v>
      </c>
      <c r="D3"/>
      <c r="E3"/>
      <c r="G3" s="19">
        <v>0</v>
      </c>
      <c r="H3" s="7">
        <f>IFERROR($C$3+$C$5*$C$6^G3,"Parameters Error")</f>
        <v>6</v>
      </c>
      <c r="I3" s="32">
        <f>SIN(x)</f>
        <v>-0.27941549819892586</v>
      </c>
      <c r="J3" s="33"/>
      <c r="K3" s="3"/>
      <c r="L3" s="3"/>
      <c r="M3" s="3"/>
      <c r="O3" s="15" t="s">
        <v>22</v>
      </c>
    </row>
    <row r="4" spans="1:15" ht="15.6" x14ac:dyDescent="0.35">
      <c r="A4" s="25" t="s">
        <v>3</v>
      </c>
      <c r="B4" s="8" t="s">
        <v>4</v>
      </c>
      <c r="C4" s="11">
        <v>6</v>
      </c>
      <c r="D4"/>
      <c r="E4"/>
      <c r="G4" s="20">
        <v>1</v>
      </c>
      <c r="H4" s="18">
        <f t="shared" ref="H4:H13" si="0">IFERROR($C$3+$C$5*$C$6^G4,"Parameters Error")</f>
        <v>2.4</v>
      </c>
      <c r="I4" s="34">
        <f t="shared" ref="I4:I13" si="1">SIN(H4)</f>
        <v>0.67546318055115095</v>
      </c>
      <c r="J4" s="35"/>
      <c r="L4" s="1"/>
      <c r="N4" s="5" t="s">
        <v>13</v>
      </c>
      <c r="O4" s="4" t="s">
        <v>11</v>
      </c>
    </row>
    <row r="5" spans="1:15" x14ac:dyDescent="0.3">
      <c r="A5" s="25" t="s">
        <v>5</v>
      </c>
      <c r="B5" s="8" t="s">
        <v>6</v>
      </c>
      <c r="C5" s="26">
        <f>IFERROR(C4-C3,"error")</f>
        <v>4</v>
      </c>
      <c r="D5"/>
      <c r="E5"/>
      <c r="G5" s="20">
        <v>2</v>
      </c>
      <c r="H5" s="18">
        <f>IFERROR($C$3+$C$5*$C$6^G5,"Parameters Error")</f>
        <v>2.04</v>
      </c>
      <c r="I5" s="34">
        <f t="shared" si="1"/>
        <v>0.89192865095337959</v>
      </c>
      <c r="J5" s="35"/>
      <c r="N5" s="5" t="s">
        <v>12</v>
      </c>
      <c r="O5" s="4" t="s">
        <v>32</v>
      </c>
    </row>
    <row r="6" spans="1:15" x14ac:dyDescent="0.3">
      <c r="A6" s="25" t="s">
        <v>7</v>
      </c>
      <c r="B6" s="12" t="s">
        <v>8</v>
      </c>
      <c r="C6" s="11">
        <v>0.1</v>
      </c>
      <c r="D6"/>
      <c r="E6"/>
      <c r="G6" s="20">
        <v>3</v>
      </c>
      <c r="H6" s="18">
        <f t="shared" si="0"/>
        <v>2.004</v>
      </c>
      <c r="I6" s="34">
        <f t="shared" si="1"/>
        <v>0.90762556954867368</v>
      </c>
      <c r="J6" s="35"/>
      <c r="O6" s="4" t="s">
        <v>34</v>
      </c>
    </row>
    <row r="7" spans="1:15" x14ac:dyDescent="0.3">
      <c r="G7" s="20">
        <v>4</v>
      </c>
      <c r="H7" s="18">
        <f t="shared" si="0"/>
        <v>2.0004</v>
      </c>
      <c r="I7" s="34">
        <f t="shared" si="1"/>
        <v>0.90913089535170855</v>
      </c>
      <c r="J7" s="35"/>
      <c r="N7" s="5" t="s">
        <v>14</v>
      </c>
      <c r="O7" s="4" t="s">
        <v>30</v>
      </c>
    </row>
    <row r="8" spans="1:15" x14ac:dyDescent="0.3">
      <c r="G8" s="20">
        <v>5</v>
      </c>
      <c r="H8" s="18">
        <f>IFERROR($C$3+$C$5*$C$6^G8,"Parameters Error")</f>
        <v>2.0000399999999998</v>
      </c>
      <c r="I8" s="34">
        <f t="shared" si="1"/>
        <v>0.90928078022478642</v>
      </c>
      <c r="J8" s="35"/>
      <c r="N8" s="5" t="s">
        <v>15</v>
      </c>
      <c r="O8" s="4" t="s">
        <v>29</v>
      </c>
    </row>
    <row r="9" spans="1:15" x14ac:dyDescent="0.3">
      <c r="G9" s="20">
        <v>6</v>
      </c>
      <c r="H9" s="18">
        <f t="shared" si="0"/>
        <v>2.0000040000000001</v>
      </c>
      <c r="I9" s="34">
        <f t="shared" si="1"/>
        <v>0.90929576223106112</v>
      </c>
      <c r="J9" s="35"/>
    </row>
    <row r="10" spans="1:15" x14ac:dyDescent="0.3">
      <c r="A10" s="4" t="s">
        <v>16</v>
      </c>
      <c r="G10" s="20">
        <v>7</v>
      </c>
      <c r="H10" s="18">
        <f t="shared" si="0"/>
        <v>2.0000003999999998</v>
      </c>
      <c r="I10" s="34">
        <f t="shared" si="1"/>
        <v>0.90929726036687442</v>
      </c>
      <c r="J10" s="35"/>
      <c r="O10" s="15" t="s">
        <v>21</v>
      </c>
    </row>
    <row r="11" spans="1:15" x14ac:dyDescent="0.3">
      <c r="G11" s="20">
        <v>8</v>
      </c>
      <c r="H11" s="18">
        <f t="shared" si="0"/>
        <v>2.0000000400000002</v>
      </c>
      <c r="I11" s="34">
        <f t="shared" si="1"/>
        <v>0.90929741017980747</v>
      </c>
      <c r="J11" s="35"/>
      <c r="N11" s="5" t="s">
        <v>26</v>
      </c>
      <c r="O11" s="4" t="s">
        <v>27</v>
      </c>
    </row>
    <row r="12" spans="1:15" x14ac:dyDescent="0.3">
      <c r="G12" s="20">
        <v>9</v>
      </c>
      <c r="H12" s="18">
        <f t="shared" si="0"/>
        <v>2.0000000039999999</v>
      </c>
      <c r="I12" s="34">
        <f t="shared" si="1"/>
        <v>0.90929742516109435</v>
      </c>
      <c r="J12" s="35"/>
      <c r="N12" s="5" t="s">
        <v>17</v>
      </c>
      <c r="O12" s="4" t="s">
        <v>28</v>
      </c>
    </row>
    <row r="13" spans="1:15" x14ac:dyDescent="0.3">
      <c r="G13" s="20">
        <v>10</v>
      </c>
      <c r="H13" s="27">
        <f t="shared" si="0"/>
        <v>2.0000000004</v>
      </c>
      <c r="I13" s="34">
        <f t="shared" si="1"/>
        <v>0.90929742665922297</v>
      </c>
      <c r="J13" s="35"/>
      <c r="N13" s="5" t="s">
        <v>18</v>
      </c>
      <c r="O13" s="4" t="s">
        <v>19</v>
      </c>
    </row>
    <row r="14" spans="1:15" ht="14.4" hidden="1" customHeight="1" x14ac:dyDescent="0.3">
      <c r="G14" s="6">
        <v>11</v>
      </c>
      <c r="H14" s="9">
        <f t="shared" ref="H14:H18" si="2">$C$3+$C$5*$C$6^G14</f>
        <v>2.00000000004</v>
      </c>
      <c r="I14" s="34"/>
      <c r="J14" s="35"/>
      <c r="N14" s="5" t="s">
        <v>7</v>
      </c>
      <c r="O14" s="4" t="s">
        <v>20</v>
      </c>
    </row>
    <row r="15" spans="1:15" ht="14.4" hidden="1" customHeight="1" x14ac:dyDescent="0.3">
      <c r="G15" s="6">
        <v>12</v>
      </c>
      <c r="H15" s="9">
        <f t="shared" si="2"/>
        <v>2.0000000000039999</v>
      </c>
      <c r="I15" s="34"/>
      <c r="J15" s="35"/>
    </row>
    <row r="16" spans="1:15" ht="14.4" hidden="1" customHeight="1" x14ac:dyDescent="0.3">
      <c r="G16" s="6">
        <v>13</v>
      </c>
      <c r="H16" s="9">
        <f t="shared" si="2"/>
        <v>2.0000000000004001</v>
      </c>
      <c r="I16" s="34"/>
      <c r="J16" s="35"/>
    </row>
    <row r="17" spans="1:12" ht="14.4" hidden="1" customHeight="1" x14ac:dyDescent="0.3">
      <c r="G17" s="6">
        <v>14</v>
      </c>
      <c r="H17" s="9">
        <f>$C$3+$C$5*$C$6^G17</f>
        <v>2.00000000000004</v>
      </c>
      <c r="I17" s="34"/>
      <c r="J17" s="35"/>
    </row>
    <row r="18" spans="1:12" ht="14.4" hidden="1" customHeight="1" x14ac:dyDescent="0.3">
      <c r="G18" s="6">
        <v>15</v>
      </c>
      <c r="H18" s="9">
        <f t="shared" si="2"/>
        <v>2.000000000000004</v>
      </c>
      <c r="I18" s="34"/>
      <c r="J18" s="35"/>
      <c r="K18" s="28"/>
      <c r="L18" s="28"/>
    </row>
    <row r="19" spans="1:12" ht="15" thickBot="1" x14ac:dyDescent="0.35"/>
    <row r="20" spans="1:12" ht="16.2" hidden="1" thickBot="1" x14ac:dyDescent="0.35">
      <c r="I20" s="36" t="s">
        <v>24</v>
      </c>
      <c r="J20" s="37"/>
    </row>
    <row r="21" spans="1:12" ht="15" hidden="1" thickBot="1" x14ac:dyDescent="0.35">
      <c r="I21" s="38" t="str">
        <f>LEFT(I10,4)</f>
        <v>0.90</v>
      </c>
      <c r="J21" s="38"/>
    </row>
    <row r="22" spans="1:12" ht="21.6" customHeight="1" thickBot="1" x14ac:dyDescent="0.35">
      <c r="H22" s="21"/>
      <c r="I22" s="39" t="s">
        <v>24</v>
      </c>
      <c r="J22" s="40"/>
      <c r="K22" s="4" t="str">
        <f t="shared" ref="K22:K26" si="3">LEFT(J5,5)</f>
        <v/>
      </c>
    </row>
    <row r="23" spans="1:12" ht="15.6" x14ac:dyDescent="0.3">
      <c r="H23" s="21"/>
      <c r="I23" s="41">
        <f>IFERROR(IF(A36="","",IF(A37&gt;=4,ROUND(I10,3),"Limit Not Found?")),"Uncertain Output")</f>
        <v>0.90900000000000003</v>
      </c>
      <c r="J23" s="41"/>
      <c r="K23" s="4" t="str">
        <f t="shared" si="3"/>
        <v/>
      </c>
    </row>
    <row r="24" spans="1:12" x14ac:dyDescent="0.3">
      <c r="K24" s="4" t="str">
        <f t="shared" si="3"/>
        <v/>
      </c>
    </row>
    <row r="25" spans="1:12" x14ac:dyDescent="0.3">
      <c r="K25" s="4" t="str">
        <f t="shared" si="3"/>
        <v/>
      </c>
    </row>
    <row r="26" spans="1:12" x14ac:dyDescent="0.3">
      <c r="K26" s="4" t="str">
        <f t="shared" si="3"/>
        <v/>
      </c>
    </row>
    <row r="29" spans="1:12" hidden="1" x14ac:dyDescent="0.3">
      <c r="A29" s="23" t="str">
        <f>LEFT(I4,4)</f>
        <v>0.67</v>
      </c>
    </row>
    <row r="30" spans="1:12" hidden="1" x14ac:dyDescent="0.3">
      <c r="A30" s="23" t="str">
        <f t="shared" ref="A30:A35" si="4">LEFT(I5,4)</f>
        <v>0.89</v>
      </c>
    </row>
    <row r="31" spans="1:12" hidden="1" x14ac:dyDescent="0.3">
      <c r="A31" s="23" t="str">
        <f t="shared" si="4"/>
        <v>0.90</v>
      </c>
    </row>
    <row r="32" spans="1:12" hidden="1" x14ac:dyDescent="0.3">
      <c r="A32" s="23" t="str">
        <f t="shared" si="4"/>
        <v>0.90</v>
      </c>
    </row>
    <row r="33" spans="1:10" hidden="1" x14ac:dyDescent="0.3">
      <c r="A33" s="23" t="str">
        <f t="shared" si="4"/>
        <v>0.90</v>
      </c>
    </row>
    <row r="34" spans="1:10" hidden="1" x14ac:dyDescent="0.3">
      <c r="A34" s="23" t="str">
        <f t="shared" si="4"/>
        <v>0.90</v>
      </c>
    </row>
    <row r="35" spans="1:10" hidden="1" x14ac:dyDescent="0.3">
      <c r="A35" s="23" t="str">
        <f t="shared" si="4"/>
        <v>0.90</v>
      </c>
    </row>
    <row r="36" spans="1:10" hidden="1" x14ac:dyDescent="0.3">
      <c r="A36" s="23" t="str">
        <f>LEFT(I11,4)</f>
        <v>0.90</v>
      </c>
      <c r="J36" s="4" t="str">
        <f t="shared" ref="J36" si="5">LEFT(I19,5)</f>
        <v/>
      </c>
    </row>
    <row r="37" spans="1:10" hidden="1" x14ac:dyDescent="0.3">
      <c r="A37" s="4">
        <f>COUNTIF(A29:A36,I21)</f>
        <v>6</v>
      </c>
    </row>
  </sheetData>
  <mergeCells count="22">
    <mergeCell ref="I20:J20"/>
    <mergeCell ref="I21:J21"/>
    <mergeCell ref="I22:J22"/>
    <mergeCell ref="I23:J23"/>
    <mergeCell ref="I14:J14"/>
    <mergeCell ref="I15:J15"/>
    <mergeCell ref="I16:J16"/>
    <mergeCell ref="I17:J17"/>
    <mergeCell ref="K18:L18"/>
    <mergeCell ref="A2:C2"/>
    <mergeCell ref="I3:J3"/>
    <mergeCell ref="I4:J4"/>
    <mergeCell ref="I5:J5"/>
    <mergeCell ref="I6:J6"/>
    <mergeCell ref="I12:J12"/>
    <mergeCell ref="I18:J18"/>
    <mergeCell ref="I13:J13"/>
    <mergeCell ref="I7:J7"/>
    <mergeCell ref="I8:J8"/>
    <mergeCell ref="I9:J9"/>
    <mergeCell ref="I10:J10"/>
    <mergeCell ref="I11:J11"/>
  </mergeCells>
  <conditionalFormatting sqref="I23:J23">
    <cfRule type="expression" dxfId="2" priority="6">
      <formula>(A36="")</formula>
    </cfRule>
    <cfRule type="expression" dxfId="1" priority="7">
      <formula>AND(A37&lt;4,A36&lt;&gt;"")</formula>
    </cfRule>
    <cfRule type="expression" dxfId="0" priority="8">
      <formula>AND(A37&gt;=4,A36&lt;&gt;"")</formula>
    </cfRule>
  </conditionalFormatting>
  <dataValidations count="1">
    <dataValidation type="custom" allowBlank="1" showInputMessage="1" showErrorMessage="1" sqref="C5:E5" xr:uid="{0925ACF0-5203-4A3D-9B2C-90DF0956D060}">
      <formula1>C4-C3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Expand">
                <anchor moveWithCells="1" sizeWithCells="1">
                  <from>
                    <xdr:col>10</xdr:col>
                    <xdr:colOff>15240</xdr:colOff>
                    <xdr:row>7</xdr:row>
                    <xdr:rowOff>152400</xdr:rowOff>
                  </from>
                  <to>
                    <xdr:col>12</xdr:col>
                    <xdr:colOff>15240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_xludf.Clear">
                <anchor moveWithCells="1" sizeWithCells="1">
                  <from>
                    <xdr:col>10</xdr:col>
                    <xdr:colOff>7620</xdr:colOff>
                    <xdr:row>10</xdr:row>
                    <xdr:rowOff>175260</xdr:rowOff>
                  </from>
                  <to>
                    <xdr:col>12</xdr:col>
                    <xdr:colOff>0</xdr:colOff>
                    <xdr:row>13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Limits Checker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2020-05-31T12:20:05Z</dcterms:created>
  <dcterms:modified xsi:type="dcterms:W3CDTF">2022-04-07T08:11:43Z</dcterms:modified>
</cp:coreProperties>
</file>